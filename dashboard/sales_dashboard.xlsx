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yush Bhagirath\"/>
    </mc:Choice>
  </mc:AlternateContent>
  <bookViews>
    <workbookView xWindow="0" yWindow="0" windowWidth="19368" windowHeight="8268" activeTab="2"/>
  </bookViews>
  <sheets>
    <sheet name="sales_data" sheetId="1" r:id="rId1"/>
    <sheet name="PivotTables" sheetId="8" r:id="rId2"/>
    <sheet name="Dashboard" sheetId="2" r:id="rId3"/>
  </sheets>
  <calcPr calcId="162913"/>
  <pivotCaches>
    <pivotCache cacheId="0" r:id="rId4"/>
    <pivotCache cacheId="1" r:id="rId5"/>
    <pivotCache cacheId="2" r:id="rId6"/>
  </pivotCaches>
</workbook>
</file>

<file path=xl/calcChain.xml><?xml version="1.0" encoding="utf-8"?>
<calcChain xmlns="http://schemas.openxmlformats.org/spreadsheetml/2006/main">
  <c r="C3" i="2" l="1"/>
  <c r="B3" i="2"/>
  <c r="A3" i="2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2" i="1"/>
  <c r="H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2" i="1"/>
</calcChain>
</file>

<file path=xl/sharedStrings.xml><?xml version="1.0" encoding="utf-8"?>
<sst xmlns="http://schemas.openxmlformats.org/spreadsheetml/2006/main" count="4571" uniqueCount="535">
  <si>
    <t>InvoiceDate</t>
  </si>
  <si>
    <t>Product</t>
  </si>
  <si>
    <t>Quantity</t>
  </si>
  <si>
    <t>UnitPrice</t>
  </si>
  <si>
    <t>Region</t>
  </si>
  <si>
    <t>CustomerID</t>
  </si>
  <si>
    <t>Keyboard</t>
  </si>
  <si>
    <t>East</t>
  </si>
  <si>
    <t>C0186</t>
  </si>
  <si>
    <t>Headphones</t>
  </si>
  <si>
    <t>North</t>
  </si>
  <si>
    <t>C0252</t>
  </si>
  <si>
    <t>Wireless Mouse</t>
  </si>
  <si>
    <t>West</t>
  </si>
  <si>
    <t>C0355</t>
  </si>
  <si>
    <t>C0238</t>
  </si>
  <si>
    <t>C0360</t>
  </si>
  <si>
    <t>Laptop Bag</t>
  </si>
  <si>
    <t>C0184</t>
  </si>
  <si>
    <t>C0284</t>
  </si>
  <si>
    <t>C0385</t>
  </si>
  <si>
    <t>C0426</t>
  </si>
  <si>
    <t>C0210</t>
  </si>
  <si>
    <t>C0304</t>
  </si>
  <si>
    <t>South</t>
  </si>
  <si>
    <t>C0296</t>
  </si>
  <si>
    <t>Smart Watch</t>
  </si>
  <si>
    <t>C0097</t>
  </si>
  <si>
    <t>C0447</t>
  </si>
  <si>
    <t>C0460</t>
  </si>
  <si>
    <t>C0456</t>
  </si>
  <si>
    <t>C0472</t>
  </si>
  <si>
    <t>C0208</t>
  </si>
  <si>
    <t>C0370</t>
  </si>
  <si>
    <t>C0388</t>
  </si>
  <si>
    <t>C0422</t>
  </si>
  <si>
    <t>Mobile Cover</t>
  </si>
  <si>
    <t>C0492</t>
  </si>
  <si>
    <t>C0411</t>
  </si>
  <si>
    <t>C0137</t>
  </si>
  <si>
    <t>C0367</t>
  </si>
  <si>
    <t>C0400</t>
  </si>
  <si>
    <t>C0076</t>
  </si>
  <si>
    <t>C0287</t>
  </si>
  <si>
    <t>C0375</t>
  </si>
  <si>
    <t>C0142</t>
  </si>
  <si>
    <t>C0237</t>
  </si>
  <si>
    <t>C0025</t>
  </si>
  <si>
    <t>C0290</t>
  </si>
  <si>
    <t>C0067</t>
  </si>
  <si>
    <t>C0250</t>
  </si>
  <si>
    <t>C0408</t>
  </si>
  <si>
    <t>C0118</t>
  </si>
  <si>
    <t>C0490</t>
  </si>
  <si>
    <t>C0073</t>
  </si>
  <si>
    <t>C0282</t>
  </si>
  <si>
    <t>C0404</t>
  </si>
  <si>
    <t>C0448</t>
  </si>
  <si>
    <t>C0010</t>
  </si>
  <si>
    <t>C0211</t>
  </si>
  <si>
    <t>C0323</t>
  </si>
  <si>
    <t>C0152</t>
  </si>
  <si>
    <t>C0005</t>
  </si>
  <si>
    <t>C0195</t>
  </si>
  <si>
    <t>C0442</t>
  </si>
  <si>
    <t>C0283</t>
  </si>
  <si>
    <t>C0464</t>
  </si>
  <si>
    <t>C0113</t>
  </si>
  <si>
    <t>C0271</t>
  </si>
  <si>
    <t>C0163</t>
  </si>
  <si>
    <t>C0105</t>
  </si>
  <si>
    <t>C0181</t>
  </si>
  <si>
    <t>C0044</t>
  </si>
  <si>
    <t>C0175</t>
  </si>
  <si>
    <t>C0162</t>
  </si>
  <si>
    <t>C0471</t>
  </si>
  <si>
    <t>C0351</t>
  </si>
  <si>
    <t>C0434</t>
  </si>
  <si>
    <t>C0340</t>
  </si>
  <si>
    <t>C0140</t>
  </si>
  <si>
    <t>C0132</t>
  </si>
  <si>
    <t>C0087</t>
  </si>
  <si>
    <t>C0176</t>
  </si>
  <si>
    <t>C0183</t>
  </si>
  <si>
    <t>C0368</t>
  </si>
  <si>
    <t>C0129</t>
  </si>
  <si>
    <t>C0246</t>
  </si>
  <si>
    <t>C0089</t>
  </si>
  <si>
    <t>C0066</t>
  </si>
  <si>
    <t>C0158</t>
  </si>
  <si>
    <t>C0387</t>
  </si>
  <si>
    <t>C0378</t>
  </si>
  <si>
    <t>C0149</t>
  </si>
  <si>
    <t>C0473</t>
  </si>
  <si>
    <t>C0433</t>
  </si>
  <si>
    <t>C0116</t>
  </si>
  <si>
    <t>C0214</t>
  </si>
  <si>
    <t>C0469</t>
  </si>
  <si>
    <t>C0446</t>
  </si>
  <si>
    <t>C0481</t>
  </si>
  <si>
    <t>C0372</t>
  </si>
  <si>
    <t>C0294</t>
  </si>
  <si>
    <t>C0253</t>
  </si>
  <si>
    <t>C0143</t>
  </si>
  <si>
    <t>C0366</t>
  </si>
  <si>
    <t>C0436</t>
  </si>
  <si>
    <t>C0463</t>
  </si>
  <si>
    <t>C0302</t>
  </si>
  <si>
    <t>C0277</t>
  </si>
  <si>
    <t>C0377</t>
  </si>
  <si>
    <t>C0389</t>
  </si>
  <si>
    <t>C0070</t>
  </si>
  <si>
    <t>C0363</t>
  </si>
  <si>
    <t>C0112</t>
  </si>
  <si>
    <t>C0364</t>
  </si>
  <si>
    <t>C0303</t>
  </si>
  <si>
    <t>C0452</t>
  </si>
  <si>
    <t>C0091</t>
  </si>
  <si>
    <t>C0018</t>
  </si>
  <si>
    <t>C0476</t>
  </si>
  <si>
    <t>C0227</t>
  </si>
  <si>
    <t>C0151</t>
  </si>
  <si>
    <t>C0192</t>
  </si>
  <si>
    <t>C0451</t>
  </si>
  <si>
    <t>C0040</t>
  </si>
  <si>
    <t>C0242</t>
  </si>
  <si>
    <t>C0138</t>
  </si>
  <si>
    <t>C0345</t>
  </si>
  <si>
    <t>C0180</t>
  </si>
  <si>
    <t>C0497</t>
  </si>
  <si>
    <t>C0200</t>
  </si>
  <si>
    <t>C0203</t>
  </si>
  <si>
    <t>C0061</t>
  </si>
  <si>
    <t>C0311</t>
  </si>
  <si>
    <t>C0037</t>
  </si>
  <si>
    <t>C0056</t>
  </si>
  <si>
    <t>C0443</t>
  </si>
  <si>
    <t>C0358</t>
  </si>
  <si>
    <t>C0349</t>
  </si>
  <si>
    <t>C0197</t>
  </si>
  <si>
    <t>C0059</t>
  </si>
  <si>
    <t>C0240</t>
  </si>
  <si>
    <t>C0002</t>
  </si>
  <si>
    <t>C0449</t>
  </si>
  <si>
    <t>C0188</t>
  </si>
  <si>
    <t>C0307</t>
  </si>
  <si>
    <t>C0030</t>
  </si>
  <si>
    <t>C0267</t>
  </si>
  <si>
    <t>C0108</t>
  </si>
  <si>
    <t>C0332</t>
  </si>
  <si>
    <t>C0423</t>
  </si>
  <si>
    <t>C0090</t>
  </si>
  <si>
    <t>C0205</t>
  </si>
  <si>
    <t>C0379</t>
  </si>
  <si>
    <t>C0445</t>
  </si>
  <si>
    <t>C0381</t>
  </si>
  <si>
    <t>C0438</t>
  </si>
  <si>
    <t>C0220</t>
  </si>
  <si>
    <t>C0094</t>
  </si>
  <si>
    <t>C0457</t>
  </si>
  <si>
    <t>C0103</t>
  </si>
  <si>
    <t>C0223</t>
  </si>
  <si>
    <t>C0495</t>
  </si>
  <si>
    <t>C0247</t>
  </si>
  <si>
    <t>C0031</t>
  </si>
  <si>
    <t>C0052</t>
  </si>
  <si>
    <t>C0439</t>
  </si>
  <si>
    <t>C0278</t>
  </si>
  <si>
    <t>C0101</t>
  </si>
  <si>
    <t>C0111</t>
  </si>
  <si>
    <t>C0321</t>
  </si>
  <si>
    <t>C0249</t>
  </si>
  <si>
    <t>C0191</t>
  </si>
  <si>
    <t>C0182</t>
  </si>
  <si>
    <t>C0405</t>
  </si>
  <si>
    <t>C0335</t>
  </si>
  <si>
    <t>C0209</t>
  </si>
  <si>
    <t>C0022</t>
  </si>
  <si>
    <t>C0166</t>
  </si>
  <si>
    <t>C0099</t>
  </si>
  <si>
    <t>C0493</t>
  </si>
  <si>
    <t>C0008</t>
  </si>
  <si>
    <t>C0190</t>
  </si>
  <si>
    <t>C0273</t>
  </si>
  <si>
    <t>C0017</t>
  </si>
  <si>
    <t>C0141</t>
  </si>
  <si>
    <t>C0145</t>
  </si>
  <si>
    <t>C0337</t>
  </si>
  <si>
    <t>C0496</t>
  </si>
  <si>
    <t>C0078</t>
  </si>
  <si>
    <t>C0429</t>
  </si>
  <si>
    <t>C0262</t>
  </si>
  <si>
    <t>C0014</t>
  </si>
  <si>
    <t>C0239</t>
  </si>
  <si>
    <t>C0072</t>
  </si>
  <si>
    <t>C0310</t>
  </si>
  <si>
    <t>C0269</t>
  </si>
  <si>
    <t>C0241</t>
  </si>
  <si>
    <t>C0415</t>
  </si>
  <si>
    <t>C0245</t>
  </si>
  <si>
    <t>C0060</t>
  </si>
  <si>
    <t>C0006</t>
  </si>
  <si>
    <t>C0470</t>
  </si>
  <si>
    <t>C0058</t>
  </si>
  <si>
    <t>C0305</t>
  </si>
  <si>
    <t>C0407</t>
  </si>
  <si>
    <t>C0217</t>
  </si>
  <si>
    <t>C0418</t>
  </si>
  <si>
    <t>C0026</t>
  </si>
  <si>
    <t>C0474</t>
  </si>
  <si>
    <t>C0020</t>
  </si>
  <si>
    <t>C0390</t>
  </si>
  <si>
    <t>C0198</t>
  </si>
  <si>
    <t>C0146</t>
  </si>
  <si>
    <t>C0462</t>
  </si>
  <si>
    <t>C0013</t>
  </si>
  <si>
    <t>C0391</t>
  </si>
  <si>
    <t>C0384</t>
  </si>
  <si>
    <t>C0399</t>
  </si>
  <si>
    <t>C0019</t>
  </si>
  <si>
    <t>C0063</t>
  </si>
  <si>
    <t>C0491</t>
  </si>
  <si>
    <t>C0419</t>
  </si>
  <si>
    <t>C0403</t>
  </si>
  <si>
    <t>C0100</t>
  </si>
  <si>
    <t>C0416</t>
  </si>
  <si>
    <t>C0122</t>
  </si>
  <si>
    <t>C0432</t>
  </si>
  <si>
    <t>C0317</t>
  </si>
  <si>
    <t>C0327</t>
  </si>
  <si>
    <t>C0050</t>
  </si>
  <si>
    <t>C0065</t>
  </si>
  <si>
    <t>C0288</t>
  </si>
  <si>
    <t>C0164</t>
  </si>
  <si>
    <t>C0454</t>
  </si>
  <si>
    <t>C0314</t>
  </si>
  <si>
    <t>C0128</t>
  </si>
  <si>
    <t>C0398</t>
  </si>
  <si>
    <t>C0421</t>
  </si>
  <si>
    <t>C0324</t>
  </si>
  <si>
    <t>C0187</t>
  </si>
  <si>
    <t>C0346</t>
  </si>
  <si>
    <t>C0352</t>
  </si>
  <si>
    <t>C0194</t>
  </si>
  <si>
    <t>C0259</t>
  </si>
  <si>
    <t>C0136</t>
  </si>
  <si>
    <t>C0280</t>
  </si>
  <si>
    <t>C0171</t>
  </si>
  <si>
    <t>C0159</t>
  </si>
  <si>
    <t>C0201</t>
  </si>
  <si>
    <t>C0487</t>
  </si>
  <si>
    <t>C0045</t>
  </si>
  <si>
    <t>C0450</t>
  </si>
  <si>
    <t>C0264</t>
  </si>
  <si>
    <t>C0071</t>
  </si>
  <si>
    <t>C0371</t>
  </si>
  <si>
    <t>C0125</t>
  </si>
  <si>
    <t>C0313</t>
  </si>
  <si>
    <t>C0483</t>
  </si>
  <si>
    <t>C0286</t>
  </si>
  <si>
    <t>C0458</t>
  </si>
  <si>
    <t>C0230</t>
  </si>
  <si>
    <t>C0373</t>
  </si>
  <si>
    <t>C0221</t>
  </si>
  <si>
    <t>C0098</t>
  </si>
  <si>
    <t>C0382</t>
  </si>
  <si>
    <t>C0173</t>
  </si>
  <si>
    <t>C0453</t>
  </si>
  <si>
    <t>C0350</t>
  </si>
  <si>
    <t>C0440</t>
  </si>
  <si>
    <t>C0494</t>
  </si>
  <si>
    <t>C0004</t>
  </si>
  <si>
    <t>C0093</t>
  </si>
  <si>
    <t>C0106</t>
  </si>
  <si>
    <t>C0424</t>
  </si>
  <si>
    <t>C0096</t>
  </si>
  <si>
    <t>C0229</t>
  </si>
  <si>
    <t>C0202</t>
  </si>
  <si>
    <t>C0212</t>
  </si>
  <si>
    <t>C0376</t>
  </si>
  <si>
    <t>C0139</t>
  </si>
  <si>
    <t>C0299</t>
  </si>
  <si>
    <t>C0401</t>
  </si>
  <si>
    <t>C0297</t>
  </si>
  <si>
    <t>C0467</t>
  </si>
  <si>
    <t>C0291</t>
  </si>
  <si>
    <t>C0193</t>
  </si>
  <si>
    <t>C0468</t>
  </si>
  <si>
    <t>C0150</t>
  </si>
  <si>
    <t>C0461</t>
  </si>
  <si>
    <t>C0251</t>
  </si>
  <si>
    <t>C0003</t>
  </si>
  <si>
    <t>C0393</t>
  </si>
  <si>
    <t>C0316</t>
  </si>
  <si>
    <t>C0270</t>
  </si>
  <si>
    <t>C0225</t>
  </si>
  <si>
    <t>C0233</t>
  </si>
  <si>
    <t>C0329</t>
  </si>
  <si>
    <t>C0279</t>
  </si>
  <si>
    <t>C0083</t>
  </si>
  <si>
    <t>C0069</t>
  </si>
  <si>
    <t>C0047</t>
  </si>
  <si>
    <t>C0256</t>
  </si>
  <si>
    <t>C0215</t>
  </si>
  <si>
    <t>C0281</t>
  </si>
  <si>
    <t>C0412</t>
  </si>
  <si>
    <t>C0482</t>
  </si>
  <si>
    <t>C0248</t>
  </si>
  <si>
    <t>C0074</t>
  </si>
  <si>
    <t>C0206</t>
  </si>
  <si>
    <t>C0127</t>
  </si>
  <si>
    <t>C0425</t>
  </si>
  <si>
    <t>C0334</t>
  </si>
  <si>
    <t>C0048</t>
  </si>
  <si>
    <t>C0226</t>
  </si>
  <si>
    <t>C0266</t>
  </si>
  <si>
    <t>C0459</t>
  </si>
  <si>
    <t>C0011</t>
  </si>
  <si>
    <t>C0085</t>
  </si>
  <si>
    <t>C0064</t>
  </si>
  <si>
    <t>C0258</t>
  </si>
  <si>
    <t>C0121</t>
  </si>
  <si>
    <t>C0298</t>
  </si>
  <si>
    <t>C0466</t>
  </si>
  <si>
    <t>C0054</t>
  </si>
  <si>
    <t>C0331</t>
  </si>
  <si>
    <t>C0272</t>
  </si>
  <si>
    <t>C0243</t>
  </si>
  <si>
    <t>C0144</t>
  </si>
  <si>
    <t>C0441</t>
  </si>
  <si>
    <t>C0431</t>
  </si>
  <si>
    <t>C0333</t>
  </si>
  <si>
    <t>C0130</t>
  </si>
  <si>
    <t>C0315</t>
  </si>
  <si>
    <t>C0079</t>
  </si>
  <si>
    <t>C0263</t>
  </si>
  <si>
    <t>C0430</t>
  </si>
  <si>
    <t>C0488</t>
  </si>
  <si>
    <t>C0380</t>
  </si>
  <si>
    <t>C0012</t>
  </si>
  <si>
    <t>C0254</t>
  </si>
  <si>
    <t>C0043</t>
  </si>
  <si>
    <t>C0465</t>
  </si>
  <si>
    <t>C0292</t>
  </si>
  <si>
    <t>C0325</t>
  </si>
  <si>
    <t>C0414</t>
  </si>
  <si>
    <t>C0124</t>
  </si>
  <si>
    <t>C0293</t>
  </si>
  <si>
    <t>C0285</t>
  </si>
  <si>
    <t>C0228</t>
  </si>
  <si>
    <t>C0275</t>
  </si>
  <si>
    <t>C0021</t>
  </si>
  <si>
    <t>C0165</t>
  </si>
  <si>
    <t>C0027</t>
  </si>
  <si>
    <t>C0148</t>
  </si>
  <si>
    <t>C0326</t>
  </si>
  <si>
    <t>C0319</t>
  </si>
  <si>
    <t>C0386</t>
  </si>
  <si>
    <t>C0406</t>
  </si>
  <si>
    <t>C0224</t>
  </si>
  <si>
    <t>C0356</t>
  </si>
  <si>
    <t>C0034</t>
  </si>
  <si>
    <t>C0427</t>
  </si>
  <si>
    <t>C0318</t>
  </si>
  <si>
    <t>C0374</t>
  </si>
  <si>
    <t>C0420</t>
  </si>
  <si>
    <t>C0231</t>
  </si>
  <si>
    <t>C0499</t>
  </si>
  <si>
    <t>C0038</t>
  </si>
  <si>
    <t>C0009</t>
  </si>
  <si>
    <t>C0338</t>
  </si>
  <si>
    <t>C0343</t>
  </si>
  <si>
    <t>C0126</t>
  </si>
  <si>
    <t>C0075</t>
  </si>
  <si>
    <t>C0477</t>
  </si>
  <si>
    <t>C0300</t>
  </si>
  <si>
    <t>C0077</t>
  </si>
  <si>
    <t>C0095</t>
  </si>
  <si>
    <t>C0135</t>
  </si>
  <si>
    <t>C0068</t>
  </si>
  <si>
    <t>C0147</t>
  </si>
  <si>
    <t>C0478</t>
  </si>
  <si>
    <t>C0341</t>
  </si>
  <si>
    <t>C0189</t>
  </si>
  <si>
    <t>C0339</t>
  </si>
  <si>
    <t>C0322</t>
  </si>
  <si>
    <t>C0016</t>
  </si>
  <si>
    <t>C0107</t>
  </si>
  <si>
    <t>C0088</t>
  </si>
  <si>
    <t>C0395</t>
  </si>
  <si>
    <t>C0410</t>
  </si>
  <si>
    <t>C0306</t>
  </si>
  <si>
    <t>C0396</t>
  </si>
  <si>
    <t>C0348</t>
  </si>
  <si>
    <t>C0480</t>
  </si>
  <si>
    <t>C0199</t>
  </si>
  <si>
    <t>C0260</t>
  </si>
  <si>
    <t>C0369</t>
  </si>
  <si>
    <t>C0084</t>
  </si>
  <si>
    <t>C0444</t>
  </si>
  <si>
    <t>C0361</t>
  </si>
  <si>
    <t>C0042</t>
  </si>
  <si>
    <t>C0185</t>
  </si>
  <si>
    <t>C0041</t>
  </si>
  <si>
    <t>C0336</t>
  </si>
  <si>
    <t>C0160</t>
  </si>
  <si>
    <t>C0276</t>
  </si>
  <si>
    <t>C0039</t>
  </si>
  <si>
    <t>C0435</t>
  </si>
  <si>
    <t>C0057</t>
  </si>
  <si>
    <t>C0015</t>
  </si>
  <si>
    <t>C0156</t>
  </si>
  <si>
    <t>C0359</t>
  </si>
  <si>
    <t>C0394</t>
  </si>
  <si>
    <t>C0110</t>
  </si>
  <si>
    <t>C0357</t>
  </si>
  <si>
    <t>C0216</t>
  </si>
  <si>
    <t>C0036</t>
  </si>
  <si>
    <t>C0417</t>
  </si>
  <si>
    <t>C0365</t>
  </si>
  <si>
    <t>C0123</t>
  </si>
  <si>
    <t>C0104</t>
  </si>
  <si>
    <t>C0479</t>
  </si>
  <si>
    <t>C0046</t>
  </si>
  <si>
    <t>C0169</t>
  </si>
  <si>
    <t>C0261</t>
  </si>
  <si>
    <t>C0109</t>
  </si>
  <si>
    <t>C0353</t>
  </si>
  <si>
    <t>C0397</t>
  </si>
  <si>
    <t>C0133</t>
  </si>
  <si>
    <t>C0409</t>
  </si>
  <si>
    <t>C0219</t>
  </si>
  <si>
    <t>C0428</t>
  </si>
  <si>
    <t>C0344</t>
  </si>
  <si>
    <t>C0413</t>
  </si>
  <si>
    <t>C0218</t>
  </si>
  <si>
    <t>C0383</t>
  </si>
  <si>
    <t>C0437</t>
  </si>
  <si>
    <t>C0029</t>
  </si>
  <si>
    <t>C0161</t>
  </si>
  <si>
    <t>C0131</t>
  </si>
  <si>
    <t>C0475</t>
  </si>
  <si>
    <t>C0204</t>
  </si>
  <si>
    <t>C0167</t>
  </si>
  <si>
    <t>C0102</t>
  </si>
  <si>
    <t>C0086</t>
  </si>
  <si>
    <t>C0342</t>
  </si>
  <si>
    <t>C0115</t>
  </si>
  <si>
    <t>C0268</t>
  </si>
  <si>
    <t>C0207</t>
  </si>
  <si>
    <t>C0154</t>
  </si>
  <si>
    <t>C0232</t>
  </si>
  <si>
    <t>C0328</t>
  </si>
  <si>
    <t>C0051</t>
  </si>
  <si>
    <t>C0117</t>
  </si>
  <si>
    <t>C0309</t>
  </si>
  <si>
    <t>C0007</t>
  </si>
  <si>
    <t>C0489</t>
  </si>
  <si>
    <t>C0498</t>
  </si>
  <si>
    <t>C0028</t>
  </si>
  <si>
    <t>C0235</t>
  </si>
  <si>
    <t>C0035</t>
  </si>
  <si>
    <t>C0244</t>
  </si>
  <si>
    <t>C0320</t>
  </si>
  <si>
    <t>C0330</t>
  </si>
  <si>
    <t>C0308</t>
  </si>
  <si>
    <t>C0001</t>
  </si>
  <si>
    <t>C0236</t>
  </si>
  <si>
    <t>C0178</t>
  </si>
  <si>
    <t>C0032</t>
  </si>
  <si>
    <t>C0222</t>
  </si>
  <si>
    <t>C0255</t>
  </si>
  <si>
    <t>C0455</t>
  </si>
  <si>
    <t>C0257</t>
  </si>
  <si>
    <t>C0402</t>
  </si>
  <si>
    <t>C0033</t>
  </si>
  <si>
    <t>C0155</t>
  </si>
  <si>
    <t>C0172</t>
  </si>
  <si>
    <t>C0274</t>
  </si>
  <si>
    <t>C0196</t>
  </si>
  <si>
    <t>C0134</t>
  </si>
  <si>
    <t>C0055</t>
  </si>
  <si>
    <t>C0179</t>
  </si>
  <si>
    <t>C0119</t>
  </si>
  <si>
    <t>C0265</t>
  </si>
  <si>
    <t>C0053</t>
  </si>
  <si>
    <t>C0295</t>
  </si>
  <si>
    <t>C0392</t>
  </si>
  <si>
    <t>C0485</t>
  </si>
  <si>
    <t>C0092</t>
  </si>
  <si>
    <t>C0301</t>
  </si>
  <si>
    <t>C0114</t>
  </si>
  <si>
    <t>C0289</t>
  </si>
  <si>
    <t>C0177</t>
  </si>
  <si>
    <t>C0168</t>
  </si>
  <si>
    <t>C0080</t>
  </si>
  <si>
    <t>C0347</t>
  </si>
  <si>
    <t>TotalRevenue</t>
  </si>
  <si>
    <t>Total Revenue</t>
  </si>
  <si>
    <t>Total Quantity Sold</t>
  </si>
  <si>
    <t>Average Order Value</t>
  </si>
  <si>
    <t>Best-Selling Product</t>
  </si>
  <si>
    <t>Best Region</t>
  </si>
  <si>
    <t>Row Labels</t>
  </si>
  <si>
    <t>Grand Total</t>
  </si>
  <si>
    <t>Sum of TotalRevenue</t>
  </si>
  <si>
    <t>Month</t>
  </si>
  <si>
    <t>Apr-2023</t>
  </si>
  <si>
    <t>Apr-2024</t>
  </si>
  <si>
    <t>Aug-2023</t>
  </si>
  <si>
    <t>Aug-2024</t>
  </si>
  <si>
    <t>Dec-2023</t>
  </si>
  <si>
    <t>Dec-2024</t>
  </si>
  <si>
    <t>Feb-2023</t>
  </si>
  <si>
    <t>Feb-2024</t>
  </si>
  <si>
    <t>Jan-2023</t>
  </si>
  <si>
    <t>Jan-2024</t>
  </si>
  <si>
    <t>Jul-2023</t>
  </si>
  <si>
    <t>Jul-2024</t>
  </si>
  <si>
    <t>Jun-2023</t>
  </si>
  <si>
    <t>Jun-2024</t>
  </si>
  <si>
    <t>Mar-2023</t>
  </si>
  <si>
    <t>Mar-2024</t>
  </si>
  <si>
    <t>May-2023</t>
  </si>
  <si>
    <t>May-2024</t>
  </si>
  <si>
    <t>Nov-2023</t>
  </si>
  <si>
    <t>Nov-2024</t>
  </si>
  <si>
    <t>Oct-2023</t>
  </si>
  <si>
    <t>Oct-2024</t>
  </si>
  <si>
    <t>Sep-2023</t>
  </si>
  <si>
    <t>Sep-2024</t>
  </si>
  <si>
    <t>Sales Insights Dashboard</t>
  </si>
  <si>
    <t>Top 5 Customers by Revenue</t>
  </si>
  <si>
    <t>Revenue by Region</t>
  </si>
  <si>
    <t>Monthly Revenue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</si>
</sst>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4" fontId="19" fillId="33" borderId="13" xfId="0" applyNumberFormat="1" applyFont="1" applyFill="1" applyBorder="1" applyAlignment="1">
      <alignment horizontal="center" vertical="center"/>
    </xf>
    <xf numFmtId="4" fontId="19" fillId="33" borderId="14" xfId="0" applyNumberFormat="1" applyFont="1" applyFill="1" applyBorder="1" applyAlignment="1">
      <alignment horizontal="center" vertical="center"/>
    </xf>
    <xf numFmtId="3" fontId="19" fillId="33" borderId="14" xfId="0" applyNumberFormat="1" applyFont="1" applyFill="1" applyBorder="1" applyAlignment="1">
      <alignment horizontal="center" vertical="center"/>
    </xf>
    <xf numFmtId="43" fontId="0" fillId="34" borderId="0" xfId="42" applyFont="1" applyFill="1"/>
    <xf numFmtId="3" fontId="0" fillId="0" borderId="0" xfId="0" applyNumberFormat="1"/>
    <xf numFmtId="43" fontId="20" fillId="34" borderId="0" xfId="42" applyFont="1" applyFill="1" applyAlignment="1">
      <alignment horizontal="center" vertical="center"/>
    </xf>
    <xf numFmtId="43" fontId="0" fillId="34" borderId="0" xfId="42" applyFont="1" applyFill="1" applyAlignment="1">
      <alignment horizontal="center" vertical="center"/>
    </xf>
    <xf numFmtId="0" fontId="0" fillId="0" borderId="16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8E9D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PivotTables!$J$3:$J$27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PivotTables!$K$3:$K$27</c:f>
              <c:numCache>
                <c:formatCode>#,##0</c:formatCode>
                <c:ptCount val="24"/>
                <c:pt idx="0">
                  <c:v>286150</c:v>
                </c:pt>
                <c:pt idx="1">
                  <c:v>224300</c:v>
                </c:pt>
                <c:pt idx="2">
                  <c:v>279550</c:v>
                </c:pt>
                <c:pt idx="3">
                  <c:v>335850</c:v>
                </c:pt>
                <c:pt idx="4">
                  <c:v>225600</c:v>
                </c:pt>
                <c:pt idx="5">
                  <c:v>307000</c:v>
                </c:pt>
                <c:pt idx="6">
                  <c:v>245850</c:v>
                </c:pt>
                <c:pt idx="7">
                  <c:v>273850</c:v>
                </c:pt>
                <c:pt idx="8">
                  <c:v>276600</c:v>
                </c:pt>
                <c:pt idx="9">
                  <c:v>322000</c:v>
                </c:pt>
                <c:pt idx="10">
                  <c:v>295600</c:v>
                </c:pt>
                <c:pt idx="11">
                  <c:v>268750</c:v>
                </c:pt>
                <c:pt idx="12">
                  <c:v>305500</c:v>
                </c:pt>
                <c:pt idx="13">
                  <c:v>299250</c:v>
                </c:pt>
                <c:pt idx="14">
                  <c:v>266850</c:v>
                </c:pt>
                <c:pt idx="15">
                  <c:v>320850</c:v>
                </c:pt>
                <c:pt idx="16">
                  <c:v>276050</c:v>
                </c:pt>
                <c:pt idx="17">
                  <c:v>293150</c:v>
                </c:pt>
                <c:pt idx="18">
                  <c:v>291850</c:v>
                </c:pt>
                <c:pt idx="19">
                  <c:v>360450</c:v>
                </c:pt>
                <c:pt idx="20">
                  <c:v>294900</c:v>
                </c:pt>
                <c:pt idx="21">
                  <c:v>247250</c:v>
                </c:pt>
                <c:pt idx="22">
                  <c:v>232300</c:v>
                </c:pt>
                <c:pt idx="23">
                  <c:v>213500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D-47D1-9E9F-31AA7AA5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779936"/>
        <c:axId val="1391779104"/>
      </c:lineChart>
      <c:catAx>
        <c:axId val="1391779936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79104"/>
        <c:crosses val="autoZero"/>
        <c:auto val="1"/>
        <c:lblAlgn val="ctr"/>
        <c:lblOffset val="100"/>
        <c:noMultiLvlLbl val="0"/>
      </c:catAx>
      <c:valAx>
        <c:axId val="13917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10 Products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300838122605365"/>
          <c:y val="0.2273526785714286"/>
          <c:w val="0.57211685823754788"/>
          <c:h val="0.620207837301587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PivotTables!$D$3:$D$9</c:f>
              <c:strCache>
                <c:ptCount val="6"/>
                <c:pt idx="0">
                  <c:v>Mobile Cover</c:v>
                </c:pt>
                <c:pt idx="1">
                  <c:v>Laptop Bag</c:v>
                </c:pt>
                <c:pt idx="2">
                  <c:v>Smart Watch</c:v>
                </c:pt>
                <c:pt idx="3">
                  <c:v>Headphones</c:v>
                </c:pt>
                <c:pt idx="4">
                  <c:v>Wireless Mouse</c:v>
                </c:pt>
                <c:pt idx="5">
                  <c:v>Keyboard</c:v>
                </c:pt>
              </c:strCache>
            </c:strRef>
          </c:cat>
          <c:val>
            <c:numRef>
              <c:f>PivotTables!$E$3:$E$9</c:f>
              <c:numCache>
                <c:formatCode>#,##0</c:formatCode>
                <c:ptCount val="6"/>
                <c:pt idx="0">
                  <c:v>1298050</c:v>
                </c:pt>
                <c:pt idx="1">
                  <c:v>1227550</c:v>
                </c:pt>
                <c:pt idx="2">
                  <c:v>1158100</c:v>
                </c:pt>
                <c:pt idx="3">
                  <c:v>1143200</c:v>
                </c:pt>
                <c:pt idx="4">
                  <c:v>1039250</c:v>
                </c:pt>
                <c:pt idx="5">
                  <c:v>876850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8-4FAF-BC1B-481F38EE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887232"/>
        <c:axId val="1388199696"/>
      </c:barChart>
      <c:catAx>
        <c:axId val="12298872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99696"/>
        <c:crosses val="autoZero"/>
        <c:auto val="1"/>
        <c:lblAlgn val="ctr"/>
        <c:lblOffset val="100"/>
        <c:noMultiLvlLbl val="0"/>
      </c:catAx>
      <c:valAx>
        <c:axId val="138819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8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Revenue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PivotTables!$G$3:$G$7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PivotTables!$H$3:$H$7</c:f>
              <c:numCache>
                <c:formatCode>#,##0</c:formatCode>
                <c:ptCount val="4"/>
                <c:pt idx="0">
                  <c:v>1767250</c:v>
                </c:pt>
                <c:pt idx="1">
                  <c:v>1738850</c:v>
                </c:pt>
                <c:pt idx="2">
                  <c:v>1670400</c:v>
                </c:pt>
                <c:pt idx="3">
                  <c:v>1566500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9-43DC-83F1-403FBAAC6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946560"/>
        <c:axId val="1473951968"/>
      </c:barChart>
      <c:catAx>
        <c:axId val="14739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51968"/>
        <c:crosses val="autoZero"/>
        <c:auto val="1"/>
        <c:lblAlgn val="ctr"/>
        <c:lblOffset val="100"/>
        <c:noMultiLvlLbl val="0"/>
      </c:catAx>
      <c:valAx>
        <c:axId val="14739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5 Customers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PivotTables!$A$3:$A$8</c:f>
              <c:strCache>
                <c:ptCount val="5"/>
                <c:pt idx="0">
                  <c:v>C0076</c:v>
                </c:pt>
                <c:pt idx="1">
                  <c:v>C0375</c:v>
                </c:pt>
                <c:pt idx="2">
                  <c:v>C0208</c:v>
                </c:pt>
                <c:pt idx="3">
                  <c:v>C0116</c:v>
                </c:pt>
                <c:pt idx="4">
                  <c:v>C0018</c:v>
                </c:pt>
              </c:strCache>
            </c:strRef>
          </c:cat>
          <c:val>
            <c:numRef>
              <c:f>PivotTables!$B$3:$B$8</c:f>
              <c:numCache>
                <c:formatCode>#,##0</c:formatCode>
                <c:ptCount val="5"/>
                <c:pt idx="0">
                  <c:v>60400</c:v>
                </c:pt>
                <c:pt idx="1">
                  <c:v>56750</c:v>
                </c:pt>
                <c:pt idx="2">
                  <c:v>54000</c:v>
                </c:pt>
                <c:pt idx="3">
                  <c:v>52900</c:v>
                </c:pt>
                <c:pt idx="4">
                  <c:v>52450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B-4C6B-A5DF-6D3758A7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948224"/>
        <c:axId val="1473948640"/>
      </c:barChart>
      <c:catAx>
        <c:axId val="147394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48640"/>
        <c:crosses val="autoZero"/>
        <c:auto val="1"/>
        <c:lblAlgn val="ctr"/>
        <c:lblOffset val="100"/>
        <c:noMultiLvlLbl val="0"/>
      </c:catAx>
      <c:valAx>
        <c:axId val="147394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5</xdr:row>
      <xdr:rowOff>22860</xdr:rowOff>
    </xdr:from>
    <xdr:to>
      <xdr:col>2</xdr:col>
      <xdr:colOff>888960</xdr:colOff>
      <xdr:row>16</xdr:row>
      <xdr:rowOff>106560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1082039</xdr:colOff>
      <xdr:row>5</xdr:row>
      <xdr:rowOff>15240</xdr:rowOff>
    </xdr:from>
    <xdr:to>
      <xdr:col>4</xdr:col>
      <xdr:colOff>1727159</xdr:colOff>
      <xdr:row>16</xdr:row>
      <xdr:rowOff>106560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266694</xdr:colOff>
      <xdr:row>18</xdr:row>
      <xdr:rowOff>15240</xdr:rowOff>
    </xdr:from>
    <xdr:to>
      <xdr:col>2</xdr:col>
      <xdr:colOff>911814</xdr:colOff>
      <xdr:row>30</xdr:row>
      <xdr:rowOff>16680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1082040</xdr:colOff>
      <xdr:row>18</xdr:row>
      <xdr:rowOff>15240</xdr:rowOff>
    </xdr:from>
    <xdr:to>
      <xdr:col>4</xdr:col>
      <xdr:colOff>1737600</xdr:colOff>
      <xdr:row>30</xdr:row>
      <xdr:rowOff>16680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ush Bhagirath" refreshedDate="45988.765806249998" createdVersion="6" refreshedVersion="6" minRefreshableVersion="3" recordCount="1500">
  <cacheSource type="worksheet">
    <worksheetSource ref="B1:H1501" sheet="sales_data"/>
  </cacheSource>
  <cacheFields count="7">
    <cacheField name="InvoiceDate" numFmtId="14">
      <sharedItems containsSemiMixedTypes="0" containsNonDate="0" containsDate="1" containsString="0" minDate="2023-01-01T00:00:00" maxDate="2025-01-01T00:00:00"/>
    </cacheField>
    <cacheField name="Product" numFmtId="49">
      <sharedItems count="6">
        <s v="Keyboard"/>
        <s v="Headphones"/>
        <s v="Wireless Mouse"/>
        <s v="Laptop Bag"/>
        <s v="Smart Watch"/>
        <s v="Mobile Cover"/>
      </sharedItems>
    </cacheField>
    <cacheField name="Quantity" numFmtId="1">
      <sharedItems containsSemiMixedTypes="0" containsString="0" containsNumber="1" containsInteger="1" minValue="1" maxValue="6"/>
    </cacheField>
    <cacheField name="UnitPrice" numFmtId="164">
      <sharedItems containsSemiMixedTypes="0" containsString="0" containsNumber="1" containsInteger="1" minValue="150" maxValue="3500"/>
    </cacheField>
    <cacheField name="Region" numFmtId="49">
      <sharedItems count="4">
        <s v="East"/>
        <s v="North"/>
        <s v="West"/>
        <s v="South"/>
      </sharedItems>
    </cacheField>
    <cacheField name="CustomerID" numFmtId="49">
      <sharedItems/>
    </cacheField>
    <cacheField name="TotalRevenue" numFmtId="164">
      <sharedItems containsSemiMixedTypes="0" containsString="0" containsNumber="1" containsInteger="1" minValue="150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yush Bhagirath" refreshedDate="45988.804900810188" createdVersion="6" refreshedVersion="6" minRefreshableVersion="3" recordCount="1501">
  <cacheSource type="worksheet">
    <worksheetSource ref="A1:H1048576" sheet="sales_data"/>
  </cacheSource>
  <cacheFields count="8">
    <cacheField name="Month" numFmtId="14">
      <sharedItems containsBlank="1" count="25"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  <s v="Dec-2024"/>
        <m/>
      </sharedItems>
    </cacheField>
    <cacheField name="InvoiceDate" numFmtId="14">
      <sharedItems containsNonDate="0" containsDate="1" containsString="0" containsBlank="1" minDate="2023-01-01T00:00:00" maxDate="2025-01-01T00:00:00"/>
    </cacheField>
    <cacheField name="Product" numFmtId="49">
      <sharedItems containsBlank="1"/>
    </cacheField>
    <cacheField name="Quantity" numFmtId="1">
      <sharedItems containsString="0" containsBlank="1" containsNumber="1" containsInteger="1" minValue="1" maxValue="6"/>
    </cacheField>
    <cacheField name="UnitPrice" numFmtId="164">
      <sharedItems containsString="0" containsBlank="1" containsNumber="1" containsInteger="1" minValue="150" maxValue="3500"/>
    </cacheField>
    <cacheField name="Region" numFmtId="49">
      <sharedItems containsBlank="1"/>
    </cacheField>
    <cacheField name="CustomerID" numFmtId="49">
      <sharedItems containsBlank="1"/>
    </cacheField>
    <cacheField name="TotalRevenue" numFmtId="0">
      <sharedItems containsString="0" containsBlank="1" containsNumber="1" containsInteger="1" minValue="150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yush Bhagirath" refreshedDate="45990.673383449073" createdVersion="6" refreshedVersion="6" minRefreshableVersion="3" recordCount="1500">
  <cacheSource type="worksheet">
    <worksheetSource ref="A1:H1501" sheet="sales_data"/>
  </cacheSource>
  <cacheFields count="8">
    <cacheField name="Month" numFmtId="14">
      <sharedItems/>
    </cacheField>
    <cacheField name="InvoiceDate" numFmtId="14">
      <sharedItems containsSemiMixedTypes="0" containsNonDate="0" containsDate="1" containsString="0" minDate="2023-01-01T00:00:00" maxDate="2025-01-01T00:00:00"/>
    </cacheField>
    <cacheField name="Product" numFmtId="49">
      <sharedItems/>
    </cacheField>
    <cacheField name="Quantity" numFmtId="1">
      <sharedItems containsSemiMixedTypes="0" containsString="0" containsNumber="1" containsInteger="1" minValue="1" maxValue="6"/>
    </cacheField>
    <cacheField name="UnitPrice" numFmtId="164">
      <sharedItems containsSemiMixedTypes="0" containsString="0" containsNumber="1" containsInteger="1" minValue="150" maxValue="3500"/>
    </cacheField>
    <cacheField name="Region" numFmtId="49">
      <sharedItems/>
    </cacheField>
    <cacheField name="CustomerID" numFmtId="49">
      <sharedItems count="481">
        <s v="C0186"/>
        <s v="C0252"/>
        <s v="C0355"/>
        <s v="C0238"/>
        <s v="C0360"/>
        <s v="C0184"/>
        <s v="C0284"/>
        <s v="C0385"/>
        <s v="C0426"/>
        <s v="C0210"/>
        <s v="C0304"/>
        <s v="C0296"/>
        <s v="C0097"/>
        <s v="C0447"/>
        <s v="C0460"/>
        <s v="C0456"/>
        <s v="C0472"/>
        <s v="C0208"/>
        <s v="C0370"/>
        <s v="C0388"/>
        <s v="C0422"/>
        <s v="C0492"/>
        <s v="C0411"/>
        <s v="C0137"/>
        <s v="C0367"/>
        <s v="C0400"/>
        <s v="C0076"/>
        <s v="C0287"/>
        <s v="C0375"/>
        <s v="C0142"/>
        <s v="C0237"/>
        <s v="C0025"/>
        <s v="C0290"/>
        <s v="C0067"/>
        <s v="C0250"/>
        <s v="C0408"/>
        <s v="C0118"/>
        <s v="C0490"/>
        <s v="C0073"/>
        <s v="C0282"/>
        <s v="C0404"/>
        <s v="C0448"/>
        <s v="C0010"/>
        <s v="C0211"/>
        <s v="C0323"/>
        <s v="C0152"/>
        <s v="C0005"/>
        <s v="C0195"/>
        <s v="C0442"/>
        <s v="C0283"/>
        <s v="C0464"/>
        <s v="C0113"/>
        <s v="C0271"/>
        <s v="C0163"/>
        <s v="C0105"/>
        <s v="C0181"/>
        <s v="C0044"/>
        <s v="C0175"/>
        <s v="C0162"/>
        <s v="C0471"/>
        <s v="C0351"/>
        <s v="C0434"/>
        <s v="C0340"/>
        <s v="C0140"/>
        <s v="C0132"/>
        <s v="C0087"/>
        <s v="C0176"/>
        <s v="C0183"/>
        <s v="C0368"/>
        <s v="C0129"/>
        <s v="C0246"/>
        <s v="C0089"/>
        <s v="C0066"/>
        <s v="C0158"/>
        <s v="C0387"/>
        <s v="C0378"/>
        <s v="C0149"/>
        <s v="C0473"/>
        <s v="C0433"/>
        <s v="C0116"/>
        <s v="C0214"/>
        <s v="C0469"/>
        <s v="C0446"/>
        <s v="C0481"/>
        <s v="C0372"/>
        <s v="C0294"/>
        <s v="C0253"/>
        <s v="C0143"/>
        <s v="C0366"/>
        <s v="C0436"/>
        <s v="C0463"/>
        <s v="C0302"/>
        <s v="C0277"/>
        <s v="C0377"/>
        <s v="C0389"/>
        <s v="C0070"/>
        <s v="C0363"/>
        <s v="C0112"/>
        <s v="C0364"/>
        <s v="C0303"/>
        <s v="C0452"/>
        <s v="C0091"/>
        <s v="C0018"/>
        <s v="C0476"/>
        <s v="C0227"/>
        <s v="C0151"/>
        <s v="C0192"/>
        <s v="C0451"/>
        <s v="C0040"/>
        <s v="C0242"/>
        <s v="C0138"/>
        <s v="C0345"/>
        <s v="C0180"/>
        <s v="C0497"/>
        <s v="C0200"/>
        <s v="C0203"/>
        <s v="C0061"/>
        <s v="C0311"/>
        <s v="C0037"/>
        <s v="C0056"/>
        <s v="C0443"/>
        <s v="C0358"/>
        <s v="C0349"/>
        <s v="C0197"/>
        <s v="C0059"/>
        <s v="C0240"/>
        <s v="C0002"/>
        <s v="C0449"/>
        <s v="C0188"/>
        <s v="C0307"/>
        <s v="C0030"/>
        <s v="C0267"/>
        <s v="C0108"/>
        <s v="C0332"/>
        <s v="C0423"/>
        <s v="C0090"/>
        <s v="C0205"/>
        <s v="C0379"/>
        <s v="C0445"/>
        <s v="C0381"/>
        <s v="C0438"/>
        <s v="C0220"/>
        <s v="C0094"/>
        <s v="C0457"/>
        <s v="C0103"/>
        <s v="C0223"/>
        <s v="C0495"/>
        <s v="C0247"/>
        <s v="C0031"/>
        <s v="C0052"/>
        <s v="C0439"/>
        <s v="C0278"/>
        <s v="C0101"/>
        <s v="C0111"/>
        <s v="C0321"/>
        <s v="C0249"/>
        <s v="C0191"/>
        <s v="C0182"/>
        <s v="C0405"/>
        <s v="C0335"/>
        <s v="C0209"/>
        <s v="C0022"/>
        <s v="C0166"/>
        <s v="C0099"/>
        <s v="C0493"/>
        <s v="C0008"/>
        <s v="C0190"/>
        <s v="C0273"/>
        <s v="C0017"/>
        <s v="C0141"/>
        <s v="C0145"/>
        <s v="C0337"/>
        <s v="C0496"/>
        <s v="C0078"/>
        <s v="C0429"/>
        <s v="C0262"/>
        <s v="C0014"/>
        <s v="C0239"/>
        <s v="C0072"/>
        <s v="C0310"/>
        <s v="C0269"/>
        <s v="C0241"/>
        <s v="C0415"/>
        <s v="C0245"/>
        <s v="C0060"/>
        <s v="C0006"/>
        <s v="C0470"/>
        <s v="C0058"/>
        <s v="C0305"/>
        <s v="C0407"/>
        <s v="C0217"/>
        <s v="C0418"/>
        <s v="C0026"/>
        <s v="C0474"/>
        <s v="C0020"/>
        <s v="C0390"/>
        <s v="C0198"/>
        <s v="C0146"/>
        <s v="C0462"/>
        <s v="C0013"/>
        <s v="C0391"/>
        <s v="C0384"/>
        <s v="C0399"/>
        <s v="C0019"/>
        <s v="C0063"/>
        <s v="C0491"/>
        <s v="C0419"/>
        <s v="C0403"/>
        <s v="C0100"/>
        <s v="C0416"/>
        <s v="C0122"/>
        <s v="C0432"/>
        <s v="C0317"/>
        <s v="C0327"/>
        <s v="C0050"/>
        <s v="C0065"/>
        <s v="C0288"/>
        <s v="C0164"/>
        <s v="C0454"/>
        <s v="C0314"/>
        <s v="C0128"/>
        <s v="C0398"/>
        <s v="C0421"/>
        <s v="C0324"/>
        <s v="C0187"/>
        <s v="C0346"/>
        <s v="C0352"/>
        <s v="C0194"/>
        <s v="C0259"/>
        <s v="C0136"/>
        <s v="C0280"/>
        <s v="C0171"/>
        <s v="C0159"/>
        <s v="C0201"/>
        <s v="C0487"/>
        <s v="C0045"/>
        <s v="C0450"/>
        <s v="C0264"/>
        <s v="C0071"/>
        <s v="C0371"/>
        <s v="C0125"/>
        <s v="C0313"/>
        <s v="C0483"/>
        <s v="C0286"/>
        <s v="C0458"/>
        <s v="C0230"/>
        <s v="C0373"/>
        <s v="C0221"/>
        <s v="C0098"/>
        <s v="C0382"/>
        <s v="C0173"/>
        <s v="C0453"/>
        <s v="C0350"/>
        <s v="C0440"/>
        <s v="C0494"/>
        <s v="C0004"/>
        <s v="C0093"/>
        <s v="C0106"/>
        <s v="C0424"/>
        <s v="C0096"/>
        <s v="C0229"/>
        <s v="C0202"/>
        <s v="C0212"/>
        <s v="C0376"/>
        <s v="C0139"/>
        <s v="C0299"/>
        <s v="C0401"/>
        <s v="C0297"/>
        <s v="C0467"/>
        <s v="C0291"/>
        <s v="C0193"/>
        <s v="C0468"/>
        <s v="C0150"/>
        <s v="C0461"/>
        <s v="C0251"/>
        <s v="C0003"/>
        <s v="C0393"/>
        <s v="C0316"/>
        <s v="C0270"/>
        <s v="C0225"/>
        <s v="C0233"/>
        <s v="C0329"/>
        <s v="C0279"/>
        <s v="C0083"/>
        <s v="C0069"/>
        <s v="C0047"/>
        <s v="C0256"/>
        <s v="C0215"/>
        <s v="C0281"/>
        <s v="C0412"/>
        <s v="C0482"/>
        <s v="C0248"/>
        <s v="C0074"/>
        <s v="C0206"/>
        <s v="C0127"/>
        <s v="C0425"/>
        <s v="C0334"/>
        <s v="C0048"/>
        <s v="C0226"/>
        <s v="C0266"/>
        <s v="C0459"/>
        <s v="C0011"/>
        <s v="C0085"/>
        <s v="C0064"/>
        <s v="C0258"/>
        <s v="C0121"/>
        <s v="C0298"/>
        <s v="C0466"/>
        <s v="C0054"/>
        <s v="C0331"/>
        <s v="C0272"/>
        <s v="C0243"/>
        <s v="C0144"/>
        <s v="C0441"/>
        <s v="C0431"/>
        <s v="C0333"/>
        <s v="C0130"/>
        <s v="C0315"/>
        <s v="C0079"/>
        <s v="C0263"/>
        <s v="C0430"/>
        <s v="C0488"/>
        <s v="C0380"/>
        <s v="C0012"/>
        <s v="C0254"/>
        <s v="C0043"/>
        <s v="C0465"/>
        <s v="C0292"/>
        <s v="C0325"/>
        <s v="C0414"/>
        <s v="C0124"/>
        <s v="C0293"/>
        <s v="C0285"/>
        <s v="C0228"/>
        <s v="C0275"/>
        <s v="C0021"/>
        <s v="C0165"/>
        <s v="C0027"/>
        <s v="C0148"/>
        <s v="C0326"/>
        <s v="C0319"/>
        <s v="C0386"/>
        <s v="C0406"/>
        <s v="C0224"/>
        <s v="C0356"/>
        <s v="C0034"/>
        <s v="C0427"/>
        <s v="C0318"/>
        <s v="C0374"/>
        <s v="C0420"/>
        <s v="C0231"/>
        <s v="C0499"/>
        <s v="C0038"/>
        <s v="C0009"/>
        <s v="C0338"/>
        <s v="C0343"/>
        <s v="C0126"/>
        <s v="C0075"/>
        <s v="C0477"/>
        <s v="C0300"/>
        <s v="C0077"/>
        <s v="C0095"/>
        <s v="C0135"/>
        <s v="C0068"/>
        <s v="C0147"/>
        <s v="C0478"/>
        <s v="C0341"/>
        <s v="C0189"/>
        <s v="C0339"/>
        <s v="C0322"/>
        <s v="C0016"/>
        <s v="C0107"/>
        <s v="C0088"/>
        <s v="C0395"/>
        <s v="C0410"/>
        <s v="C0306"/>
        <s v="C0396"/>
        <s v="C0348"/>
        <s v="C0480"/>
        <s v="C0199"/>
        <s v="C0260"/>
        <s v="C0369"/>
        <s v="C0084"/>
        <s v="C0444"/>
        <s v="C0361"/>
        <s v="C0042"/>
        <s v="C0185"/>
        <s v="C0041"/>
        <s v="C0336"/>
        <s v="C0160"/>
        <s v="C0276"/>
        <s v="C0039"/>
        <s v="C0435"/>
        <s v="C0057"/>
        <s v="C0015"/>
        <s v="C0156"/>
        <s v="C0359"/>
        <s v="C0394"/>
        <s v="C0110"/>
        <s v="C0357"/>
        <s v="C0216"/>
        <s v="C0036"/>
        <s v="C0417"/>
        <s v="C0365"/>
        <s v="C0123"/>
        <s v="C0104"/>
        <s v="C0479"/>
        <s v="C0046"/>
        <s v="C0169"/>
        <s v="C0261"/>
        <s v="C0109"/>
        <s v="C0353"/>
        <s v="C0397"/>
        <s v="C0133"/>
        <s v="C0409"/>
        <s v="C0219"/>
        <s v="C0428"/>
        <s v="C0344"/>
        <s v="C0413"/>
        <s v="C0218"/>
        <s v="C0383"/>
        <s v="C0437"/>
        <s v="C0029"/>
        <s v="C0161"/>
        <s v="C0131"/>
        <s v="C0475"/>
        <s v="C0204"/>
        <s v="C0167"/>
        <s v="C0102"/>
        <s v="C0086"/>
        <s v="C0342"/>
        <s v="C0115"/>
        <s v="C0268"/>
        <s v="C0207"/>
        <s v="C0154"/>
        <s v="C0232"/>
        <s v="C0328"/>
        <s v="C0051"/>
        <s v="C0117"/>
        <s v="C0309"/>
        <s v="C0007"/>
        <s v="C0489"/>
        <s v="C0498"/>
        <s v="C0028"/>
        <s v="C0235"/>
        <s v="C0035"/>
        <s v="C0244"/>
        <s v="C0320"/>
        <s v="C0330"/>
        <s v="C0308"/>
        <s v="C0001"/>
        <s v="C0236"/>
        <s v="C0178"/>
        <s v="C0032"/>
        <s v="C0222"/>
        <s v="C0255"/>
        <s v="C0455"/>
        <s v="C0257"/>
        <s v="C0402"/>
        <s v="C0033"/>
        <s v="C0155"/>
        <s v="C0172"/>
        <s v="C0274"/>
        <s v="C0196"/>
        <s v="C0134"/>
        <s v="C0055"/>
        <s v="C0179"/>
        <s v="C0119"/>
        <s v="C0265"/>
        <s v="C0053"/>
        <s v="C0295"/>
        <s v="C0392"/>
        <s v="C0485"/>
        <s v="C0092"/>
        <s v="C0301"/>
        <s v="C0114"/>
        <s v="C0289"/>
        <s v="C0177"/>
        <s v="C0168"/>
        <s v="C0080"/>
        <s v="C0347"/>
      </sharedItems>
    </cacheField>
    <cacheField name="TotalRevenue" numFmtId="164">
      <sharedItems containsSemiMixedTypes="0" containsString="0" containsNumber="1" containsInteger="1" minValue="150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d v="2023-01-01T00:00:00"/>
    <x v="0"/>
    <n v="6"/>
    <n v="150"/>
    <x v="0"/>
    <s v="C0186"/>
    <n v="900"/>
  </r>
  <r>
    <d v="2023-01-01T11:41:16"/>
    <x v="1"/>
    <n v="2"/>
    <n v="1800"/>
    <x v="1"/>
    <s v="C0252"/>
    <n v="3600"/>
  </r>
  <r>
    <d v="2023-01-01T23:22:32"/>
    <x v="2"/>
    <n v="4"/>
    <n v="450"/>
    <x v="2"/>
    <s v="C0355"/>
    <n v="1800"/>
  </r>
  <r>
    <d v="2023-01-02T11:03:48"/>
    <x v="1"/>
    <n v="3"/>
    <n v="1800"/>
    <x v="2"/>
    <s v="C0238"/>
    <n v="5400"/>
  </r>
  <r>
    <d v="2023-01-02T22:45:04"/>
    <x v="1"/>
    <n v="5"/>
    <n v="1200"/>
    <x v="0"/>
    <s v="C0360"/>
    <n v="6000"/>
  </r>
  <r>
    <d v="2023-01-03T10:26:20"/>
    <x v="3"/>
    <n v="4"/>
    <n v="3500"/>
    <x v="1"/>
    <s v="C0184"/>
    <n v="14000"/>
  </r>
  <r>
    <d v="2023-01-03T22:07:36"/>
    <x v="2"/>
    <n v="3"/>
    <n v="450"/>
    <x v="0"/>
    <s v="C0284"/>
    <n v="1350"/>
  </r>
  <r>
    <d v="2023-01-04T09:48:52"/>
    <x v="2"/>
    <n v="3"/>
    <n v="1200"/>
    <x v="2"/>
    <s v="C0385"/>
    <n v="3600"/>
  </r>
  <r>
    <d v="2023-01-04T21:30:08"/>
    <x v="2"/>
    <n v="1"/>
    <n v="3500"/>
    <x v="1"/>
    <s v="C0426"/>
    <n v="3500"/>
  </r>
  <r>
    <d v="2023-01-05T09:11:24"/>
    <x v="1"/>
    <n v="5"/>
    <n v="450"/>
    <x v="1"/>
    <s v="C0210"/>
    <n v="2250"/>
  </r>
  <r>
    <d v="2023-01-05T20:52:41"/>
    <x v="0"/>
    <n v="1"/>
    <n v="700"/>
    <x v="0"/>
    <s v="C0304"/>
    <n v="700"/>
  </r>
  <r>
    <d v="2023-01-06T08:33:57"/>
    <x v="2"/>
    <n v="2"/>
    <n v="150"/>
    <x v="3"/>
    <s v="C0296"/>
    <n v="300"/>
  </r>
  <r>
    <d v="2023-01-06T20:15:13"/>
    <x v="4"/>
    <n v="1"/>
    <n v="150"/>
    <x v="0"/>
    <s v="C0097"/>
    <n v="150"/>
  </r>
  <r>
    <d v="2023-01-07T07:56:29"/>
    <x v="1"/>
    <n v="1"/>
    <n v="1200"/>
    <x v="2"/>
    <s v="C0447"/>
    <n v="1200"/>
  </r>
  <r>
    <d v="2023-01-07T19:37:45"/>
    <x v="3"/>
    <n v="4"/>
    <n v="3500"/>
    <x v="2"/>
    <s v="C0460"/>
    <n v="14000"/>
  </r>
  <r>
    <d v="2023-01-08T07:19:01"/>
    <x v="0"/>
    <n v="6"/>
    <n v="150"/>
    <x v="2"/>
    <s v="C0456"/>
    <n v="900"/>
  </r>
  <r>
    <d v="2023-01-08T19:00:17"/>
    <x v="4"/>
    <n v="3"/>
    <n v="3500"/>
    <x v="2"/>
    <s v="C0472"/>
    <n v="10500"/>
  </r>
  <r>
    <d v="2023-01-09T06:41:33"/>
    <x v="4"/>
    <n v="5"/>
    <n v="3500"/>
    <x v="2"/>
    <s v="C0208"/>
    <n v="17500"/>
  </r>
  <r>
    <d v="2023-01-09T18:22:49"/>
    <x v="3"/>
    <n v="1"/>
    <n v="1200"/>
    <x v="3"/>
    <s v="C0370"/>
    <n v="1200"/>
  </r>
  <r>
    <d v="2023-01-10T06:04:05"/>
    <x v="0"/>
    <n v="5"/>
    <n v="1200"/>
    <x v="1"/>
    <s v="C0388"/>
    <n v="6000"/>
  </r>
  <r>
    <d v="2023-01-10T17:45:21"/>
    <x v="1"/>
    <n v="6"/>
    <n v="1200"/>
    <x v="0"/>
    <s v="C0422"/>
    <n v="7200"/>
  </r>
  <r>
    <d v="2023-01-11T05:26:37"/>
    <x v="5"/>
    <n v="6"/>
    <n v="150"/>
    <x v="0"/>
    <s v="C0492"/>
    <n v="900"/>
  </r>
  <r>
    <d v="2023-01-11T17:07:53"/>
    <x v="0"/>
    <n v="1"/>
    <n v="1200"/>
    <x v="2"/>
    <s v="C0411"/>
    <n v="1200"/>
  </r>
  <r>
    <d v="2023-01-12T04:49:09"/>
    <x v="3"/>
    <n v="2"/>
    <n v="150"/>
    <x v="0"/>
    <s v="C0137"/>
    <n v="300"/>
  </r>
  <r>
    <d v="2023-01-12T16:30:25"/>
    <x v="4"/>
    <n v="1"/>
    <n v="1200"/>
    <x v="2"/>
    <s v="C0367"/>
    <n v="1200"/>
  </r>
  <r>
    <d v="2023-01-13T04:11:41"/>
    <x v="1"/>
    <n v="4"/>
    <n v="1800"/>
    <x v="3"/>
    <s v="C0400"/>
    <n v="7200"/>
  </r>
  <r>
    <d v="2023-01-13T15:52:57"/>
    <x v="0"/>
    <n v="3"/>
    <n v="3500"/>
    <x v="3"/>
    <s v="C0184"/>
    <n v="10500"/>
  </r>
  <r>
    <d v="2023-01-14T03:34:13"/>
    <x v="5"/>
    <n v="2"/>
    <n v="1200"/>
    <x v="1"/>
    <s v="C0076"/>
    <n v="2400"/>
  </r>
  <r>
    <d v="2023-01-14T15:15:29"/>
    <x v="5"/>
    <n v="1"/>
    <n v="450"/>
    <x v="3"/>
    <s v="C0287"/>
    <n v="450"/>
  </r>
  <r>
    <d v="2023-01-15T02:56:45"/>
    <x v="2"/>
    <n v="5"/>
    <n v="3500"/>
    <x v="3"/>
    <s v="C0472"/>
    <n v="17500"/>
  </r>
  <r>
    <d v="2023-01-15T14:38:02"/>
    <x v="2"/>
    <n v="2"/>
    <n v="3500"/>
    <x v="1"/>
    <s v="C0375"/>
    <n v="7000"/>
  </r>
  <r>
    <d v="2023-01-16T02:19:18"/>
    <x v="3"/>
    <n v="2"/>
    <n v="1200"/>
    <x v="0"/>
    <s v="C0142"/>
    <n v="2400"/>
  </r>
  <r>
    <d v="2023-01-16T14:00:34"/>
    <x v="0"/>
    <n v="1"/>
    <n v="700"/>
    <x v="2"/>
    <s v="C0237"/>
    <n v="700"/>
  </r>
  <r>
    <d v="2023-01-17T01:41:50"/>
    <x v="0"/>
    <n v="2"/>
    <n v="1200"/>
    <x v="2"/>
    <s v="C0025"/>
    <n v="2400"/>
  </r>
  <r>
    <d v="2023-01-17T13:23:06"/>
    <x v="4"/>
    <n v="5"/>
    <n v="3500"/>
    <x v="0"/>
    <s v="C0290"/>
    <n v="17500"/>
  </r>
  <r>
    <d v="2023-01-18T01:04:22"/>
    <x v="4"/>
    <n v="6"/>
    <n v="450"/>
    <x v="1"/>
    <s v="C0067"/>
    <n v="2700"/>
  </r>
  <r>
    <d v="2023-01-18T12:45:38"/>
    <x v="4"/>
    <n v="2"/>
    <n v="3500"/>
    <x v="0"/>
    <s v="C0250"/>
    <n v="7000"/>
  </r>
  <r>
    <d v="2023-01-19T00:26:54"/>
    <x v="2"/>
    <n v="6"/>
    <n v="450"/>
    <x v="3"/>
    <s v="C0408"/>
    <n v="2700"/>
  </r>
  <r>
    <d v="2023-01-19T12:08:10"/>
    <x v="0"/>
    <n v="5"/>
    <n v="150"/>
    <x v="1"/>
    <s v="C0118"/>
    <n v="750"/>
  </r>
  <r>
    <d v="2023-01-19T23:49:26"/>
    <x v="0"/>
    <n v="1"/>
    <n v="1800"/>
    <x v="1"/>
    <s v="C0490"/>
    <n v="1800"/>
  </r>
  <r>
    <d v="2023-01-20T11:30:42"/>
    <x v="5"/>
    <n v="3"/>
    <n v="3500"/>
    <x v="1"/>
    <s v="C0073"/>
    <n v="10500"/>
  </r>
  <r>
    <d v="2023-01-20T23:11:58"/>
    <x v="2"/>
    <n v="2"/>
    <n v="1200"/>
    <x v="2"/>
    <s v="C0282"/>
    <n v="2400"/>
  </r>
  <r>
    <d v="2023-01-21T10:53:14"/>
    <x v="1"/>
    <n v="3"/>
    <n v="150"/>
    <x v="0"/>
    <s v="C0404"/>
    <n v="450"/>
  </r>
  <r>
    <d v="2023-01-21T22:34:30"/>
    <x v="2"/>
    <n v="5"/>
    <n v="1800"/>
    <x v="1"/>
    <s v="C0448"/>
    <n v="9000"/>
  </r>
  <r>
    <d v="2023-01-22T10:15:46"/>
    <x v="1"/>
    <n v="2"/>
    <n v="1200"/>
    <x v="1"/>
    <s v="C0360"/>
    <n v="2400"/>
  </r>
  <r>
    <d v="2023-01-22T21:57:02"/>
    <x v="5"/>
    <n v="6"/>
    <n v="700"/>
    <x v="1"/>
    <s v="C0010"/>
    <n v="4200"/>
  </r>
  <r>
    <d v="2023-01-23T09:38:18"/>
    <x v="3"/>
    <n v="4"/>
    <n v="1200"/>
    <x v="0"/>
    <s v="C0211"/>
    <n v="4800"/>
  </r>
  <r>
    <d v="2023-01-23T21:19:34"/>
    <x v="0"/>
    <n v="3"/>
    <n v="450"/>
    <x v="2"/>
    <s v="C0323"/>
    <n v="1350"/>
  </r>
  <r>
    <d v="2023-01-24T09:00:50"/>
    <x v="5"/>
    <n v="2"/>
    <n v="450"/>
    <x v="3"/>
    <s v="C0152"/>
    <n v="900"/>
  </r>
  <r>
    <d v="2023-01-24T20:42:06"/>
    <x v="0"/>
    <n v="3"/>
    <n v="700"/>
    <x v="2"/>
    <s v="C0005"/>
    <n v="2100"/>
  </r>
  <r>
    <d v="2023-01-25T08:23:23"/>
    <x v="4"/>
    <n v="2"/>
    <n v="150"/>
    <x v="1"/>
    <s v="C0195"/>
    <n v="300"/>
  </r>
  <r>
    <d v="2023-01-25T20:04:39"/>
    <x v="3"/>
    <n v="1"/>
    <n v="1800"/>
    <x v="2"/>
    <s v="C0442"/>
    <n v="1800"/>
  </r>
  <r>
    <d v="2023-01-26T07:45:55"/>
    <x v="3"/>
    <n v="6"/>
    <n v="1200"/>
    <x v="2"/>
    <s v="C0283"/>
    <n v="7200"/>
  </r>
  <r>
    <d v="2023-01-26T19:27:11"/>
    <x v="5"/>
    <n v="3"/>
    <n v="450"/>
    <x v="3"/>
    <s v="C0464"/>
    <n v="1350"/>
  </r>
  <r>
    <d v="2023-01-27T07:08:27"/>
    <x v="3"/>
    <n v="4"/>
    <n v="150"/>
    <x v="0"/>
    <s v="C0113"/>
    <n v="600"/>
  </r>
  <r>
    <d v="2023-01-27T18:49:43"/>
    <x v="1"/>
    <n v="4"/>
    <n v="700"/>
    <x v="0"/>
    <s v="C0271"/>
    <n v="2800"/>
  </r>
  <r>
    <d v="2023-01-28T06:30:59"/>
    <x v="3"/>
    <n v="5"/>
    <n v="3500"/>
    <x v="2"/>
    <s v="C0163"/>
    <n v="17500"/>
  </r>
  <r>
    <d v="2023-01-28T18:12:15"/>
    <x v="0"/>
    <n v="2"/>
    <n v="450"/>
    <x v="2"/>
    <s v="C0460"/>
    <n v="900"/>
  </r>
  <r>
    <d v="2023-01-29T05:53:31"/>
    <x v="0"/>
    <n v="3"/>
    <n v="700"/>
    <x v="0"/>
    <s v="C0105"/>
    <n v="2100"/>
  </r>
  <r>
    <d v="2023-01-29T17:34:47"/>
    <x v="0"/>
    <n v="5"/>
    <n v="1200"/>
    <x v="0"/>
    <s v="C0181"/>
    <n v="6000"/>
  </r>
  <r>
    <d v="2023-01-30T05:16:03"/>
    <x v="0"/>
    <n v="3"/>
    <n v="1800"/>
    <x v="3"/>
    <s v="C0044"/>
    <n v="5400"/>
  </r>
  <r>
    <d v="2023-01-30T16:57:19"/>
    <x v="1"/>
    <n v="2"/>
    <n v="450"/>
    <x v="1"/>
    <s v="C0282"/>
    <n v="900"/>
  </r>
  <r>
    <d v="2023-01-31T04:38:35"/>
    <x v="2"/>
    <n v="4"/>
    <n v="450"/>
    <x v="2"/>
    <s v="C0175"/>
    <n v="1800"/>
  </r>
  <r>
    <d v="2023-01-31T16:19:51"/>
    <x v="4"/>
    <n v="1"/>
    <n v="1200"/>
    <x v="0"/>
    <s v="C0162"/>
    <n v="1200"/>
  </r>
  <r>
    <d v="2023-02-01T04:01:07"/>
    <x v="5"/>
    <n v="4"/>
    <n v="3500"/>
    <x v="2"/>
    <s v="C0471"/>
    <n v="14000"/>
  </r>
  <r>
    <d v="2023-02-01T15:42:23"/>
    <x v="0"/>
    <n v="5"/>
    <n v="150"/>
    <x v="2"/>
    <s v="C0351"/>
    <n v="750"/>
  </r>
  <r>
    <d v="2023-02-02T03:23:39"/>
    <x v="3"/>
    <n v="6"/>
    <n v="1800"/>
    <x v="0"/>
    <s v="C0434"/>
    <n v="10800"/>
  </r>
  <r>
    <d v="2023-02-02T15:04:55"/>
    <x v="0"/>
    <n v="1"/>
    <n v="450"/>
    <x v="3"/>
    <s v="C0340"/>
    <n v="450"/>
  </r>
  <r>
    <d v="2023-02-03T02:46:11"/>
    <x v="3"/>
    <n v="5"/>
    <n v="1800"/>
    <x v="2"/>
    <s v="C0140"/>
    <n v="9000"/>
  </r>
  <r>
    <d v="2023-02-03T14:27:27"/>
    <x v="4"/>
    <n v="2"/>
    <n v="450"/>
    <x v="3"/>
    <s v="C0471"/>
    <n v="900"/>
  </r>
  <r>
    <d v="2023-02-04T02:08:44"/>
    <x v="4"/>
    <n v="1"/>
    <n v="1800"/>
    <x v="0"/>
    <s v="C0132"/>
    <n v="1800"/>
  </r>
  <r>
    <d v="2023-02-04T13:50:00"/>
    <x v="4"/>
    <n v="5"/>
    <n v="700"/>
    <x v="1"/>
    <s v="C0087"/>
    <n v="3500"/>
  </r>
  <r>
    <d v="2023-02-05T01:31:16"/>
    <x v="3"/>
    <n v="2"/>
    <n v="450"/>
    <x v="1"/>
    <s v="C0176"/>
    <n v="900"/>
  </r>
  <r>
    <d v="2023-02-05T13:12:32"/>
    <x v="0"/>
    <n v="4"/>
    <n v="1800"/>
    <x v="2"/>
    <s v="C0183"/>
    <n v="7200"/>
  </r>
  <r>
    <d v="2023-02-06T00:53:48"/>
    <x v="4"/>
    <n v="6"/>
    <n v="150"/>
    <x v="0"/>
    <s v="C0368"/>
    <n v="900"/>
  </r>
  <r>
    <d v="2023-02-06T12:35:04"/>
    <x v="1"/>
    <n v="2"/>
    <n v="700"/>
    <x v="3"/>
    <s v="C0129"/>
    <n v="1400"/>
  </r>
  <r>
    <d v="2023-02-07T00:16:20"/>
    <x v="3"/>
    <n v="3"/>
    <n v="700"/>
    <x v="2"/>
    <s v="C0246"/>
    <n v="2100"/>
  </r>
  <r>
    <d v="2023-02-07T11:57:36"/>
    <x v="3"/>
    <n v="2"/>
    <n v="150"/>
    <x v="0"/>
    <s v="C0089"/>
    <n v="300"/>
  </r>
  <r>
    <d v="2023-02-07T23:38:52"/>
    <x v="0"/>
    <n v="2"/>
    <n v="1800"/>
    <x v="0"/>
    <s v="C0066"/>
    <n v="3600"/>
  </r>
  <r>
    <d v="2023-02-08T11:20:08"/>
    <x v="3"/>
    <n v="6"/>
    <n v="1200"/>
    <x v="3"/>
    <s v="C0158"/>
    <n v="7200"/>
  </r>
  <r>
    <d v="2023-02-08T23:01:24"/>
    <x v="3"/>
    <n v="3"/>
    <n v="150"/>
    <x v="2"/>
    <s v="C0387"/>
    <n v="450"/>
  </r>
  <r>
    <d v="2023-02-09T10:42:40"/>
    <x v="4"/>
    <n v="5"/>
    <n v="1800"/>
    <x v="0"/>
    <s v="C0378"/>
    <n v="9000"/>
  </r>
  <r>
    <d v="2023-02-09T22:23:56"/>
    <x v="0"/>
    <n v="5"/>
    <n v="150"/>
    <x v="0"/>
    <s v="C0149"/>
    <n v="750"/>
  </r>
  <r>
    <d v="2023-02-10T10:05:12"/>
    <x v="4"/>
    <n v="2"/>
    <n v="150"/>
    <x v="0"/>
    <s v="C0473"/>
    <n v="300"/>
  </r>
  <r>
    <d v="2023-02-10T21:46:28"/>
    <x v="4"/>
    <n v="3"/>
    <n v="450"/>
    <x v="3"/>
    <s v="C0340"/>
    <n v="1350"/>
  </r>
  <r>
    <d v="2023-02-11T09:27:44"/>
    <x v="0"/>
    <n v="3"/>
    <n v="1800"/>
    <x v="2"/>
    <s v="C0433"/>
    <n v="5400"/>
  </r>
  <r>
    <d v="2023-02-11T21:09:00"/>
    <x v="5"/>
    <n v="6"/>
    <n v="1200"/>
    <x v="2"/>
    <s v="C0116"/>
    <n v="7200"/>
  </r>
  <r>
    <d v="2023-02-12T08:50:16"/>
    <x v="4"/>
    <n v="4"/>
    <n v="450"/>
    <x v="2"/>
    <s v="C0214"/>
    <n v="1800"/>
  </r>
  <r>
    <d v="2023-02-12T20:31:32"/>
    <x v="1"/>
    <n v="5"/>
    <n v="150"/>
    <x v="2"/>
    <s v="C0469"/>
    <n v="750"/>
  </r>
  <r>
    <d v="2023-02-13T08:12:49"/>
    <x v="1"/>
    <n v="6"/>
    <n v="3500"/>
    <x v="1"/>
    <s v="C0446"/>
    <n v="21000"/>
  </r>
  <r>
    <d v="2023-02-13T19:54:05"/>
    <x v="3"/>
    <n v="1"/>
    <n v="150"/>
    <x v="1"/>
    <s v="C0481"/>
    <n v="150"/>
  </r>
  <r>
    <d v="2023-02-14T07:35:21"/>
    <x v="1"/>
    <n v="5"/>
    <n v="150"/>
    <x v="2"/>
    <s v="C0372"/>
    <n v="750"/>
  </r>
  <r>
    <d v="2023-02-14T19:16:37"/>
    <x v="3"/>
    <n v="6"/>
    <n v="1800"/>
    <x v="3"/>
    <s v="C0294"/>
    <n v="10800"/>
  </r>
  <r>
    <d v="2023-02-15T06:57:53"/>
    <x v="5"/>
    <n v="5"/>
    <n v="1800"/>
    <x v="1"/>
    <s v="C0253"/>
    <n v="9000"/>
  </r>
  <r>
    <d v="2023-02-15T18:39:09"/>
    <x v="0"/>
    <n v="4"/>
    <n v="450"/>
    <x v="0"/>
    <s v="C0143"/>
    <n v="1800"/>
  </r>
  <r>
    <d v="2023-02-16T06:20:25"/>
    <x v="0"/>
    <n v="1"/>
    <n v="1200"/>
    <x v="1"/>
    <s v="C0250"/>
    <n v="1200"/>
  </r>
  <r>
    <d v="2023-02-16T18:01:41"/>
    <x v="0"/>
    <n v="4"/>
    <n v="450"/>
    <x v="0"/>
    <s v="C0366"/>
    <n v="1800"/>
  </r>
  <r>
    <d v="2023-02-17T05:42:57"/>
    <x v="1"/>
    <n v="1"/>
    <n v="700"/>
    <x v="2"/>
    <s v="C0436"/>
    <n v="700"/>
  </r>
  <r>
    <d v="2023-02-17T17:24:13"/>
    <x v="5"/>
    <n v="2"/>
    <n v="150"/>
    <x v="1"/>
    <s v="C0463"/>
    <n v="300"/>
  </r>
  <r>
    <d v="2023-02-18T05:05:29"/>
    <x v="1"/>
    <n v="6"/>
    <n v="3500"/>
    <x v="3"/>
    <s v="C0302"/>
    <n v="21000"/>
  </r>
  <r>
    <d v="2023-02-18T16:46:45"/>
    <x v="1"/>
    <n v="1"/>
    <n v="150"/>
    <x v="1"/>
    <s v="C0025"/>
    <n v="150"/>
  </r>
  <r>
    <d v="2023-02-19T04:28:01"/>
    <x v="5"/>
    <n v="4"/>
    <n v="150"/>
    <x v="1"/>
    <s v="C0277"/>
    <n v="600"/>
  </r>
  <r>
    <d v="2023-02-19T16:09:17"/>
    <x v="5"/>
    <n v="5"/>
    <n v="450"/>
    <x v="1"/>
    <s v="C0472"/>
    <n v="2250"/>
  </r>
  <r>
    <d v="2023-02-20T03:50:33"/>
    <x v="5"/>
    <n v="1"/>
    <n v="3500"/>
    <x v="2"/>
    <s v="C0377"/>
    <n v="3500"/>
  </r>
  <r>
    <d v="2023-02-20T15:31:49"/>
    <x v="5"/>
    <n v="6"/>
    <n v="3500"/>
    <x v="3"/>
    <s v="C0378"/>
    <n v="21000"/>
  </r>
  <r>
    <d v="2023-02-21T03:13:05"/>
    <x v="0"/>
    <n v="1"/>
    <n v="3500"/>
    <x v="1"/>
    <s v="C0389"/>
    <n v="3500"/>
  </r>
  <r>
    <d v="2023-02-21T14:54:21"/>
    <x v="2"/>
    <n v="3"/>
    <n v="450"/>
    <x v="3"/>
    <s v="C0070"/>
    <n v="1350"/>
  </r>
  <r>
    <d v="2023-02-22T02:35:37"/>
    <x v="2"/>
    <n v="5"/>
    <n v="150"/>
    <x v="2"/>
    <s v="C0113"/>
    <n v="750"/>
  </r>
  <r>
    <d v="2023-02-22T14:16:53"/>
    <x v="5"/>
    <n v="6"/>
    <n v="450"/>
    <x v="0"/>
    <s v="C0363"/>
    <n v="2700"/>
  </r>
  <r>
    <d v="2023-02-23T01:58:10"/>
    <x v="2"/>
    <n v="6"/>
    <n v="1800"/>
    <x v="1"/>
    <s v="C0112"/>
    <n v="10800"/>
  </r>
  <r>
    <d v="2023-02-23T13:39:26"/>
    <x v="2"/>
    <n v="2"/>
    <n v="1800"/>
    <x v="3"/>
    <s v="C0364"/>
    <n v="3600"/>
  </r>
  <r>
    <d v="2023-02-24T01:20:42"/>
    <x v="5"/>
    <n v="4"/>
    <n v="450"/>
    <x v="3"/>
    <s v="C0303"/>
    <n v="1800"/>
  </r>
  <r>
    <d v="2023-02-24T13:01:58"/>
    <x v="2"/>
    <n v="2"/>
    <n v="3500"/>
    <x v="2"/>
    <s v="C0471"/>
    <n v="7000"/>
  </r>
  <r>
    <d v="2023-02-25T00:43:14"/>
    <x v="1"/>
    <n v="6"/>
    <n v="150"/>
    <x v="1"/>
    <s v="C0452"/>
    <n v="900"/>
  </r>
  <r>
    <d v="2023-02-25T12:24:30"/>
    <x v="3"/>
    <n v="5"/>
    <n v="450"/>
    <x v="0"/>
    <s v="C0091"/>
    <n v="2250"/>
  </r>
  <r>
    <d v="2023-02-26T00:05:46"/>
    <x v="3"/>
    <n v="1"/>
    <n v="450"/>
    <x v="3"/>
    <s v="C0018"/>
    <n v="450"/>
  </r>
  <r>
    <d v="2023-02-26T11:47:02"/>
    <x v="5"/>
    <n v="1"/>
    <n v="450"/>
    <x v="1"/>
    <s v="C0149"/>
    <n v="450"/>
  </r>
  <r>
    <d v="2023-02-26T23:28:18"/>
    <x v="0"/>
    <n v="5"/>
    <n v="700"/>
    <x v="0"/>
    <s v="C0476"/>
    <n v="3500"/>
  </r>
  <r>
    <d v="2023-02-27T11:09:34"/>
    <x v="5"/>
    <n v="6"/>
    <n v="1800"/>
    <x v="3"/>
    <s v="C0227"/>
    <n v="10800"/>
  </r>
  <r>
    <d v="2023-02-27T22:50:50"/>
    <x v="0"/>
    <n v="1"/>
    <n v="3500"/>
    <x v="3"/>
    <s v="C0214"/>
    <n v="3500"/>
  </r>
  <r>
    <d v="2023-02-28T10:32:06"/>
    <x v="3"/>
    <n v="1"/>
    <n v="1200"/>
    <x v="0"/>
    <s v="C0360"/>
    <n v="1200"/>
  </r>
  <r>
    <d v="2023-02-28T22:13:22"/>
    <x v="5"/>
    <n v="1"/>
    <n v="3500"/>
    <x v="0"/>
    <s v="C0151"/>
    <n v="3500"/>
  </r>
  <r>
    <d v="2023-03-01T09:54:38"/>
    <x v="4"/>
    <n v="4"/>
    <n v="1200"/>
    <x v="2"/>
    <s v="C0192"/>
    <n v="4800"/>
  </r>
  <r>
    <d v="2023-03-01T21:35:54"/>
    <x v="1"/>
    <n v="4"/>
    <n v="700"/>
    <x v="1"/>
    <s v="C0451"/>
    <n v="2800"/>
  </r>
  <r>
    <d v="2023-03-02T09:17:10"/>
    <x v="2"/>
    <n v="3"/>
    <n v="450"/>
    <x v="1"/>
    <s v="C0040"/>
    <n v="1350"/>
  </r>
  <r>
    <d v="2023-03-02T20:58:26"/>
    <x v="0"/>
    <n v="2"/>
    <n v="700"/>
    <x v="2"/>
    <s v="C0242"/>
    <n v="1400"/>
  </r>
  <r>
    <d v="2023-03-03T08:39:42"/>
    <x v="4"/>
    <n v="5"/>
    <n v="700"/>
    <x v="3"/>
    <s v="C0138"/>
    <n v="3500"/>
  </r>
  <r>
    <d v="2023-03-03T20:20:58"/>
    <x v="2"/>
    <n v="5"/>
    <n v="150"/>
    <x v="0"/>
    <s v="C0345"/>
    <n v="750"/>
  </r>
  <r>
    <d v="2023-03-04T08:02:14"/>
    <x v="2"/>
    <n v="5"/>
    <n v="1800"/>
    <x v="0"/>
    <s v="C0180"/>
    <n v="9000"/>
  </r>
  <r>
    <d v="2023-03-04T19:43:31"/>
    <x v="5"/>
    <n v="3"/>
    <n v="1200"/>
    <x v="0"/>
    <s v="C0497"/>
    <n v="3600"/>
  </r>
  <r>
    <d v="2023-03-05T07:24:47"/>
    <x v="2"/>
    <n v="4"/>
    <n v="450"/>
    <x v="3"/>
    <s v="C0200"/>
    <n v="1800"/>
  </r>
  <r>
    <d v="2023-03-05T19:06:03"/>
    <x v="1"/>
    <n v="6"/>
    <n v="1200"/>
    <x v="0"/>
    <s v="C0203"/>
    <n v="7200"/>
  </r>
  <r>
    <d v="2023-03-06T06:47:19"/>
    <x v="4"/>
    <n v="6"/>
    <n v="3500"/>
    <x v="0"/>
    <s v="C0061"/>
    <n v="21000"/>
  </r>
  <r>
    <d v="2023-03-06T18:28:35"/>
    <x v="2"/>
    <n v="3"/>
    <n v="1200"/>
    <x v="2"/>
    <s v="C0192"/>
    <n v="3600"/>
  </r>
  <r>
    <d v="2023-03-07T06:09:51"/>
    <x v="5"/>
    <n v="6"/>
    <n v="3500"/>
    <x v="3"/>
    <s v="C0005"/>
    <n v="21000"/>
  </r>
  <r>
    <d v="2023-03-07T17:51:07"/>
    <x v="1"/>
    <n v="5"/>
    <n v="1800"/>
    <x v="1"/>
    <s v="C0378"/>
    <n v="9000"/>
  </r>
  <r>
    <d v="2023-03-08T05:32:23"/>
    <x v="3"/>
    <n v="2"/>
    <n v="3500"/>
    <x v="2"/>
    <s v="C0237"/>
    <n v="7000"/>
  </r>
  <r>
    <d v="2023-03-08T17:13:39"/>
    <x v="4"/>
    <n v="1"/>
    <n v="1200"/>
    <x v="2"/>
    <s v="C0181"/>
    <n v="1200"/>
  </r>
  <r>
    <d v="2023-03-09T04:54:55"/>
    <x v="2"/>
    <n v="4"/>
    <n v="1200"/>
    <x v="1"/>
    <s v="C0311"/>
    <n v="4800"/>
  </r>
  <r>
    <d v="2023-03-09T16:36:11"/>
    <x v="5"/>
    <n v="4"/>
    <n v="3500"/>
    <x v="2"/>
    <s v="C0037"/>
    <n v="14000"/>
  </r>
  <r>
    <d v="2023-03-10T04:17:27"/>
    <x v="3"/>
    <n v="3"/>
    <n v="700"/>
    <x v="3"/>
    <s v="C0056"/>
    <n v="2100"/>
  </r>
  <r>
    <d v="2023-03-10T15:58:43"/>
    <x v="3"/>
    <n v="4"/>
    <n v="1800"/>
    <x v="0"/>
    <s v="C0443"/>
    <n v="7200"/>
  </r>
  <r>
    <d v="2023-03-11T03:39:59"/>
    <x v="0"/>
    <n v="5"/>
    <n v="150"/>
    <x v="3"/>
    <s v="C0237"/>
    <n v="750"/>
  </r>
  <r>
    <d v="2023-03-11T15:21:15"/>
    <x v="1"/>
    <n v="6"/>
    <n v="450"/>
    <x v="1"/>
    <s v="C0358"/>
    <n v="2700"/>
  </r>
  <r>
    <d v="2023-03-12T03:02:31"/>
    <x v="2"/>
    <n v="5"/>
    <n v="1200"/>
    <x v="1"/>
    <s v="C0349"/>
    <n v="6000"/>
  </r>
  <r>
    <d v="2023-03-12T14:43:47"/>
    <x v="5"/>
    <n v="3"/>
    <n v="450"/>
    <x v="2"/>
    <s v="C0197"/>
    <n v="1350"/>
  </r>
  <r>
    <d v="2023-03-13T02:25:03"/>
    <x v="0"/>
    <n v="5"/>
    <n v="150"/>
    <x v="3"/>
    <s v="C0073"/>
    <n v="750"/>
  </r>
  <r>
    <d v="2023-03-13T14:06:19"/>
    <x v="1"/>
    <n v="6"/>
    <n v="450"/>
    <x v="3"/>
    <s v="C0059"/>
    <n v="2700"/>
  </r>
  <r>
    <d v="2023-03-14T01:47:36"/>
    <x v="0"/>
    <n v="2"/>
    <n v="150"/>
    <x v="1"/>
    <s v="C0240"/>
    <n v="300"/>
  </r>
  <r>
    <d v="2023-03-14T13:28:52"/>
    <x v="4"/>
    <n v="3"/>
    <n v="3500"/>
    <x v="3"/>
    <s v="C0002"/>
    <n v="10500"/>
  </r>
  <r>
    <d v="2023-03-15T01:10:08"/>
    <x v="1"/>
    <n v="2"/>
    <n v="700"/>
    <x v="1"/>
    <s v="C0449"/>
    <n v="1400"/>
  </r>
  <r>
    <d v="2023-03-15T12:51:24"/>
    <x v="1"/>
    <n v="1"/>
    <n v="1200"/>
    <x v="3"/>
    <s v="C0360"/>
    <n v="1200"/>
  </r>
  <r>
    <d v="2023-03-16T00:32:40"/>
    <x v="2"/>
    <n v="2"/>
    <n v="150"/>
    <x v="3"/>
    <s v="C0188"/>
    <n v="300"/>
  </r>
  <r>
    <d v="2023-03-16T12:13:56"/>
    <x v="1"/>
    <n v="1"/>
    <n v="450"/>
    <x v="3"/>
    <s v="C0307"/>
    <n v="450"/>
  </r>
  <r>
    <d v="2023-03-16T23:55:12"/>
    <x v="0"/>
    <n v="1"/>
    <n v="1200"/>
    <x v="1"/>
    <s v="C0030"/>
    <n v="1200"/>
  </r>
  <r>
    <d v="2023-03-17T11:36:28"/>
    <x v="1"/>
    <n v="2"/>
    <n v="700"/>
    <x v="2"/>
    <s v="C0267"/>
    <n v="1400"/>
  </r>
  <r>
    <d v="2023-03-17T23:17:44"/>
    <x v="2"/>
    <n v="3"/>
    <n v="3500"/>
    <x v="3"/>
    <s v="C0476"/>
    <n v="10500"/>
  </r>
  <r>
    <d v="2023-03-18T10:59:00"/>
    <x v="2"/>
    <n v="6"/>
    <n v="1200"/>
    <x v="1"/>
    <s v="C0108"/>
    <n v="7200"/>
  </r>
  <r>
    <d v="2023-03-18T22:40:16"/>
    <x v="4"/>
    <n v="5"/>
    <n v="150"/>
    <x v="1"/>
    <s v="C0332"/>
    <n v="750"/>
  </r>
  <r>
    <d v="2023-03-19T10:21:32"/>
    <x v="0"/>
    <n v="5"/>
    <n v="700"/>
    <x v="3"/>
    <s v="C0423"/>
    <n v="3500"/>
  </r>
  <r>
    <d v="2023-03-19T22:02:48"/>
    <x v="3"/>
    <n v="6"/>
    <n v="450"/>
    <x v="3"/>
    <s v="C0090"/>
    <n v="2700"/>
  </r>
  <r>
    <d v="2023-03-20T09:44:04"/>
    <x v="3"/>
    <n v="1"/>
    <n v="700"/>
    <x v="2"/>
    <s v="C0205"/>
    <n v="700"/>
  </r>
  <r>
    <d v="2023-03-20T21:25:20"/>
    <x v="1"/>
    <n v="1"/>
    <n v="700"/>
    <x v="1"/>
    <s v="C0379"/>
    <n v="700"/>
  </r>
  <r>
    <d v="2023-03-21T09:06:36"/>
    <x v="4"/>
    <n v="3"/>
    <n v="1800"/>
    <x v="1"/>
    <s v="C0456"/>
    <n v="5400"/>
  </r>
  <r>
    <d v="2023-03-21T20:47:52"/>
    <x v="5"/>
    <n v="4"/>
    <n v="700"/>
    <x v="0"/>
    <s v="C0447"/>
    <n v="2800"/>
  </r>
  <r>
    <d v="2023-03-22T08:29:08"/>
    <x v="1"/>
    <n v="2"/>
    <n v="700"/>
    <x v="1"/>
    <s v="C0448"/>
    <n v="1400"/>
  </r>
  <r>
    <d v="2023-03-22T20:10:24"/>
    <x v="4"/>
    <n v="1"/>
    <n v="1200"/>
    <x v="2"/>
    <s v="C0445"/>
    <n v="1200"/>
  </r>
  <r>
    <d v="2023-03-23T07:51:40"/>
    <x v="0"/>
    <n v="5"/>
    <n v="450"/>
    <x v="0"/>
    <s v="C0381"/>
    <n v="2250"/>
  </r>
  <r>
    <d v="2023-03-23T19:32:57"/>
    <x v="0"/>
    <n v="3"/>
    <n v="1200"/>
    <x v="0"/>
    <s v="C0438"/>
    <n v="3600"/>
  </r>
  <r>
    <d v="2023-03-24T07:14:13"/>
    <x v="0"/>
    <n v="2"/>
    <n v="1200"/>
    <x v="0"/>
    <s v="C0220"/>
    <n v="2400"/>
  </r>
  <r>
    <d v="2023-03-24T18:55:29"/>
    <x v="0"/>
    <n v="3"/>
    <n v="150"/>
    <x v="3"/>
    <s v="C0378"/>
    <n v="450"/>
  </r>
  <r>
    <d v="2023-03-25T06:36:45"/>
    <x v="0"/>
    <n v="2"/>
    <n v="1200"/>
    <x v="3"/>
    <s v="C0094"/>
    <n v="2400"/>
  </r>
  <r>
    <d v="2023-03-25T18:18:01"/>
    <x v="4"/>
    <n v="2"/>
    <n v="1800"/>
    <x v="1"/>
    <s v="C0457"/>
    <n v="3600"/>
  </r>
  <r>
    <d v="2023-03-26T05:59:17"/>
    <x v="4"/>
    <n v="6"/>
    <n v="1800"/>
    <x v="0"/>
    <s v="C0103"/>
    <n v="10800"/>
  </r>
  <r>
    <d v="2023-03-26T17:40:33"/>
    <x v="2"/>
    <n v="1"/>
    <n v="150"/>
    <x v="2"/>
    <s v="C0223"/>
    <n v="150"/>
  </r>
  <r>
    <d v="2023-03-27T05:21:49"/>
    <x v="3"/>
    <n v="3"/>
    <n v="3500"/>
    <x v="3"/>
    <s v="C0186"/>
    <n v="10500"/>
  </r>
  <r>
    <d v="2023-03-27T17:03:05"/>
    <x v="0"/>
    <n v="3"/>
    <n v="450"/>
    <x v="2"/>
    <s v="C0469"/>
    <n v="1350"/>
  </r>
  <r>
    <d v="2023-03-28T04:44:21"/>
    <x v="5"/>
    <n v="6"/>
    <n v="450"/>
    <x v="2"/>
    <s v="C0184"/>
    <n v="2700"/>
  </r>
  <r>
    <d v="2023-03-28T16:25:37"/>
    <x v="4"/>
    <n v="5"/>
    <n v="1200"/>
    <x v="3"/>
    <s v="C0495"/>
    <n v="6000"/>
  </r>
  <r>
    <d v="2023-03-29T04:06:53"/>
    <x v="5"/>
    <n v="5"/>
    <n v="1200"/>
    <x v="3"/>
    <s v="C0162"/>
    <n v="6000"/>
  </r>
  <r>
    <d v="2023-03-29T15:48:09"/>
    <x v="5"/>
    <n v="1"/>
    <n v="3500"/>
    <x v="3"/>
    <s v="C0247"/>
    <n v="3500"/>
  </r>
  <r>
    <d v="2023-03-30T03:29:25"/>
    <x v="5"/>
    <n v="1"/>
    <n v="1200"/>
    <x v="3"/>
    <s v="C0031"/>
    <n v="1200"/>
  </r>
  <r>
    <d v="2023-03-30T15:10:41"/>
    <x v="2"/>
    <n v="4"/>
    <n v="450"/>
    <x v="0"/>
    <s v="C0052"/>
    <n v="1800"/>
  </r>
  <r>
    <d v="2023-03-31T02:51:57"/>
    <x v="4"/>
    <n v="6"/>
    <n v="700"/>
    <x v="0"/>
    <s v="C0345"/>
    <n v="4200"/>
  </r>
  <r>
    <d v="2023-03-31T14:33:13"/>
    <x v="5"/>
    <n v="5"/>
    <n v="1800"/>
    <x v="0"/>
    <s v="C0076"/>
    <n v="9000"/>
  </r>
  <r>
    <d v="2023-04-01T02:14:29"/>
    <x v="0"/>
    <n v="2"/>
    <n v="700"/>
    <x v="0"/>
    <s v="C0385"/>
    <n v="1400"/>
  </r>
  <r>
    <d v="2023-04-01T13:55:45"/>
    <x v="1"/>
    <n v="3"/>
    <n v="700"/>
    <x v="1"/>
    <s v="C0439"/>
    <n v="2100"/>
  </r>
  <r>
    <d v="2023-04-02T01:37:01"/>
    <x v="5"/>
    <n v="1"/>
    <n v="450"/>
    <x v="0"/>
    <s v="C0278"/>
    <n v="450"/>
  </r>
  <r>
    <d v="2023-04-02T13:18:18"/>
    <x v="2"/>
    <n v="3"/>
    <n v="700"/>
    <x v="3"/>
    <s v="C0040"/>
    <n v="2100"/>
  </r>
  <r>
    <d v="2023-04-03T00:59:34"/>
    <x v="4"/>
    <n v="3"/>
    <n v="3500"/>
    <x v="2"/>
    <s v="C0101"/>
    <n v="10500"/>
  </r>
  <r>
    <d v="2023-04-03T12:40:50"/>
    <x v="2"/>
    <n v="4"/>
    <n v="150"/>
    <x v="0"/>
    <s v="C0111"/>
    <n v="600"/>
  </r>
  <r>
    <d v="2023-04-04T00:22:06"/>
    <x v="5"/>
    <n v="5"/>
    <n v="1200"/>
    <x v="1"/>
    <s v="C0385"/>
    <n v="6000"/>
  </r>
  <r>
    <d v="2023-04-04T12:03:22"/>
    <x v="4"/>
    <n v="1"/>
    <n v="150"/>
    <x v="3"/>
    <s v="C0321"/>
    <n v="150"/>
  </r>
  <r>
    <d v="2023-04-04T23:44:38"/>
    <x v="1"/>
    <n v="3"/>
    <n v="1800"/>
    <x v="2"/>
    <s v="C0249"/>
    <n v="5400"/>
  </r>
  <r>
    <d v="2023-04-05T11:25:54"/>
    <x v="5"/>
    <n v="1"/>
    <n v="1200"/>
    <x v="2"/>
    <s v="C0191"/>
    <n v="1200"/>
  </r>
  <r>
    <d v="2023-04-05T23:07:10"/>
    <x v="2"/>
    <n v="2"/>
    <n v="700"/>
    <x v="0"/>
    <s v="C0490"/>
    <n v="1400"/>
  </r>
  <r>
    <d v="2023-04-06T10:48:26"/>
    <x v="3"/>
    <n v="4"/>
    <n v="1800"/>
    <x v="2"/>
    <s v="C0182"/>
    <n v="7200"/>
  </r>
  <r>
    <d v="2023-04-06T22:29:42"/>
    <x v="0"/>
    <n v="2"/>
    <n v="1200"/>
    <x v="0"/>
    <s v="C0426"/>
    <n v="2400"/>
  </r>
  <r>
    <d v="2023-04-07T10:10:58"/>
    <x v="2"/>
    <n v="1"/>
    <n v="3500"/>
    <x v="0"/>
    <s v="C0405"/>
    <n v="3500"/>
  </r>
  <r>
    <d v="2023-04-07T21:52:14"/>
    <x v="4"/>
    <n v="1"/>
    <n v="3500"/>
    <x v="3"/>
    <s v="C0335"/>
    <n v="3500"/>
  </r>
  <r>
    <d v="2023-04-08T09:33:30"/>
    <x v="5"/>
    <n v="5"/>
    <n v="3500"/>
    <x v="3"/>
    <s v="C0209"/>
    <n v="17500"/>
  </r>
  <r>
    <d v="2023-04-08T21:14:46"/>
    <x v="0"/>
    <n v="3"/>
    <n v="3500"/>
    <x v="1"/>
    <s v="C0022"/>
    <n v="10500"/>
  </r>
  <r>
    <d v="2023-04-09T08:56:02"/>
    <x v="5"/>
    <n v="3"/>
    <n v="700"/>
    <x v="3"/>
    <s v="C0166"/>
    <n v="2100"/>
  </r>
  <r>
    <d v="2023-04-09T20:37:18"/>
    <x v="4"/>
    <n v="2"/>
    <n v="150"/>
    <x v="3"/>
    <s v="C0099"/>
    <n v="300"/>
  </r>
  <r>
    <d v="2023-04-10T08:18:34"/>
    <x v="5"/>
    <n v="4"/>
    <n v="1200"/>
    <x v="0"/>
    <s v="C0493"/>
    <n v="4800"/>
  </r>
  <r>
    <d v="2023-04-10T19:59:50"/>
    <x v="3"/>
    <n v="6"/>
    <n v="700"/>
    <x v="3"/>
    <s v="C0208"/>
    <n v="4200"/>
  </r>
  <r>
    <d v="2023-04-11T07:41:06"/>
    <x v="0"/>
    <n v="3"/>
    <n v="3500"/>
    <x v="0"/>
    <s v="C0008"/>
    <n v="10500"/>
  </r>
  <r>
    <d v="2023-04-11T19:22:22"/>
    <x v="0"/>
    <n v="5"/>
    <n v="150"/>
    <x v="0"/>
    <s v="C0190"/>
    <n v="750"/>
  </r>
  <r>
    <d v="2023-04-12T07:03:39"/>
    <x v="4"/>
    <n v="2"/>
    <n v="1800"/>
    <x v="3"/>
    <s v="C0175"/>
    <n v="3600"/>
  </r>
  <r>
    <d v="2023-04-12T18:44:55"/>
    <x v="3"/>
    <n v="2"/>
    <n v="1800"/>
    <x v="1"/>
    <s v="C0273"/>
    <n v="3600"/>
  </r>
  <r>
    <d v="2023-04-13T06:26:11"/>
    <x v="2"/>
    <n v="6"/>
    <n v="1800"/>
    <x v="1"/>
    <s v="C0017"/>
    <n v="10800"/>
  </r>
  <r>
    <d v="2023-04-13T18:07:27"/>
    <x v="5"/>
    <n v="5"/>
    <n v="3500"/>
    <x v="2"/>
    <s v="C0090"/>
    <n v="17500"/>
  </r>
  <r>
    <d v="2023-04-14T05:48:43"/>
    <x v="1"/>
    <n v="4"/>
    <n v="1800"/>
    <x v="2"/>
    <s v="C0141"/>
    <n v="7200"/>
  </r>
  <r>
    <d v="2023-04-14T17:29:59"/>
    <x v="5"/>
    <n v="5"/>
    <n v="450"/>
    <x v="3"/>
    <s v="C0145"/>
    <n v="2250"/>
  </r>
  <r>
    <d v="2023-04-15T05:11:15"/>
    <x v="5"/>
    <n v="4"/>
    <n v="1200"/>
    <x v="1"/>
    <s v="C0166"/>
    <n v="4800"/>
  </r>
  <r>
    <d v="2023-04-15T16:52:31"/>
    <x v="2"/>
    <n v="5"/>
    <n v="1200"/>
    <x v="0"/>
    <s v="C0337"/>
    <n v="6000"/>
  </r>
  <r>
    <d v="2023-04-16T04:33:47"/>
    <x v="5"/>
    <n v="5"/>
    <n v="3500"/>
    <x v="2"/>
    <s v="C0496"/>
    <n v="17500"/>
  </r>
  <r>
    <d v="2023-04-16T16:15:03"/>
    <x v="3"/>
    <n v="1"/>
    <n v="450"/>
    <x v="0"/>
    <s v="C0078"/>
    <n v="450"/>
  </r>
  <r>
    <d v="2023-04-17T03:56:19"/>
    <x v="3"/>
    <n v="2"/>
    <n v="700"/>
    <x v="2"/>
    <s v="C0429"/>
    <n v="1400"/>
  </r>
  <r>
    <d v="2023-04-17T15:37:35"/>
    <x v="0"/>
    <n v="5"/>
    <n v="700"/>
    <x v="3"/>
    <s v="C0262"/>
    <n v="3500"/>
  </r>
  <r>
    <d v="2023-04-18T03:18:51"/>
    <x v="4"/>
    <n v="6"/>
    <n v="1800"/>
    <x v="1"/>
    <s v="C0163"/>
    <n v="10800"/>
  </r>
  <r>
    <d v="2023-04-18T15:00:07"/>
    <x v="1"/>
    <n v="5"/>
    <n v="150"/>
    <x v="2"/>
    <s v="C0366"/>
    <n v="750"/>
  </r>
  <r>
    <d v="2023-04-19T02:41:23"/>
    <x v="5"/>
    <n v="3"/>
    <n v="700"/>
    <x v="1"/>
    <s v="C0014"/>
    <n v="2100"/>
  </r>
  <r>
    <d v="2023-04-19T14:22:39"/>
    <x v="5"/>
    <n v="2"/>
    <n v="150"/>
    <x v="0"/>
    <s v="C0239"/>
    <n v="300"/>
  </r>
  <r>
    <d v="2023-04-20T02:03:55"/>
    <x v="2"/>
    <n v="3"/>
    <n v="1200"/>
    <x v="3"/>
    <s v="C0072"/>
    <n v="3600"/>
  </r>
  <r>
    <d v="2023-04-20T13:45:11"/>
    <x v="4"/>
    <n v="2"/>
    <n v="150"/>
    <x v="1"/>
    <s v="C0445"/>
    <n v="300"/>
  </r>
  <r>
    <d v="2023-04-21T01:26:27"/>
    <x v="3"/>
    <n v="3"/>
    <n v="1200"/>
    <x v="3"/>
    <s v="C0143"/>
    <n v="3600"/>
  </r>
  <r>
    <d v="2023-04-21T13:07:44"/>
    <x v="1"/>
    <n v="5"/>
    <n v="450"/>
    <x v="1"/>
    <s v="C0310"/>
    <n v="2250"/>
  </r>
  <r>
    <d v="2023-04-22T00:49:00"/>
    <x v="0"/>
    <n v="5"/>
    <n v="450"/>
    <x v="0"/>
    <s v="C0283"/>
    <n v="2250"/>
  </r>
  <r>
    <d v="2023-04-22T12:30:16"/>
    <x v="3"/>
    <n v="1"/>
    <n v="3500"/>
    <x v="0"/>
    <s v="C0269"/>
    <n v="3500"/>
  </r>
  <r>
    <d v="2023-04-23T00:11:32"/>
    <x v="4"/>
    <n v="6"/>
    <n v="3500"/>
    <x v="3"/>
    <s v="C0241"/>
    <n v="21000"/>
  </r>
  <r>
    <d v="2023-04-23T11:52:48"/>
    <x v="0"/>
    <n v="3"/>
    <n v="1800"/>
    <x v="0"/>
    <s v="C0415"/>
    <n v="5400"/>
  </r>
  <r>
    <d v="2023-04-23T23:34:04"/>
    <x v="2"/>
    <n v="4"/>
    <n v="700"/>
    <x v="2"/>
    <s v="C0245"/>
    <n v="2800"/>
  </r>
  <r>
    <d v="2023-04-24T11:15:20"/>
    <x v="2"/>
    <n v="1"/>
    <n v="1800"/>
    <x v="1"/>
    <s v="C0163"/>
    <n v="1800"/>
  </r>
  <r>
    <d v="2023-04-24T22:56:36"/>
    <x v="5"/>
    <n v="3"/>
    <n v="1200"/>
    <x v="0"/>
    <s v="C0060"/>
    <n v="3600"/>
  </r>
  <r>
    <d v="2023-04-25T10:37:52"/>
    <x v="4"/>
    <n v="3"/>
    <n v="1800"/>
    <x v="2"/>
    <s v="C0006"/>
    <n v="5400"/>
  </r>
  <r>
    <d v="2023-04-25T22:19:08"/>
    <x v="1"/>
    <n v="1"/>
    <n v="150"/>
    <x v="3"/>
    <s v="C0197"/>
    <n v="150"/>
  </r>
  <r>
    <d v="2023-04-26T10:00:24"/>
    <x v="0"/>
    <n v="5"/>
    <n v="1200"/>
    <x v="2"/>
    <s v="C0470"/>
    <n v="6000"/>
  </r>
  <r>
    <d v="2023-04-26T21:41:40"/>
    <x v="3"/>
    <n v="3"/>
    <n v="3500"/>
    <x v="3"/>
    <s v="C0058"/>
    <n v="10500"/>
  </r>
  <r>
    <d v="2023-04-27T09:22:56"/>
    <x v="4"/>
    <n v="5"/>
    <n v="450"/>
    <x v="3"/>
    <s v="C0305"/>
    <n v="2250"/>
  </r>
  <r>
    <d v="2023-04-27T21:04:12"/>
    <x v="4"/>
    <n v="1"/>
    <n v="3500"/>
    <x v="1"/>
    <s v="C0407"/>
    <n v="3500"/>
  </r>
  <r>
    <d v="2023-04-28T08:45:28"/>
    <x v="2"/>
    <n v="5"/>
    <n v="700"/>
    <x v="1"/>
    <s v="C0217"/>
    <n v="3500"/>
  </r>
  <r>
    <d v="2023-04-28T20:26:44"/>
    <x v="5"/>
    <n v="2"/>
    <n v="1200"/>
    <x v="2"/>
    <s v="C0418"/>
    <n v="2400"/>
  </r>
  <r>
    <d v="2023-04-29T08:08:00"/>
    <x v="5"/>
    <n v="4"/>
    <n v="1200"/>
    <x v="1"/>
    <s v="C0026"/>
    <n v="4800"/>
  </r>
  <r>
    <d v="2023-04-29T19:49:16"/>
    <x v="0"/>
    <n v="3"/>
    <n v="150"/>
    <x v="1"/>
    <s v="C0303"/>
    <n v="450"/>
  </r>
  <r>
    <d v="2023-04-30T07:30:32"/>
    <x v="2"/>
    <n v="6"/>
    <n v="700"/>
    <x v="1"/>
    <s v="C0005"/>
    <n v="4200"/>
  </r>
  <r>
    <d v="2023-04-30T19:11:48"/>
    <x v="4"/>
    <n v="4"/>
    <n v="450"/>
    <x v="2"/>
    <s v="C0474"/>
    <n v="1800"/>
  </r>
  <r>
    <d v="2023-05-01T06:53:05"/>
    <x v="1"/>
    <n v="5"/>
    <n v="1200"/>
    <x v="0"/>
    <s v="C0020"/>
    <n v="6000"/>
  </r>
  <r>
    <d v="2023-05-01T18:34:21"/>
    <x v="2"/>
    <n v="3"/>
    <n v="1200"/>
    <x v="1"/>
    <s v="C0390"/>
    <n v="3600"/>
  </r>
  <r>
    <d v="2023-05-02T06:15:37"/>
    <x v="0"/>
    <n v="5"/>
    <n v="150"/>
    <x v="1"/>
    <s v="C0198"/>
    <n v="750"/>
  </r>
  <r>
    <d v="2023-05-02T17:56:53"/>
    <x v="0"/>
    <n v="2"/>
    <n v="1800"/>
    <x v="2"/>
    <s v="C0059"/>
    <n v="3600"/>
  </r>
  <r>
    <d v="2023-05-03T05:38:09"/>
    <x v="2"/>
    <n v="1"/>
    <n v="450"/>
    <x v="0"/>
    <s v="C0448"/>
    <n v="450"/>
  </r>
  <r>
    <d v="2023-05-03T17:19:25"/>
    <x v="0"/>
    <n v="3"/>
    <n v="3500"/>
    <x v="1"/>
    <s v="C0242"/>
    <n v="10500"/>
  </r>
  <r>
    <d v="2023-05-04T05:00:41"/>
    <x v="2"/>
    <n v="2"/>
    <n v="700"/>
    <x v="3"/>
    <s v="C0146"/>
    <n v="1400"/>
  </r>
  <r>
    <d v="2023-05-04T16:41:57"/>
    <x v="3"/>
    <n v="2"/>
    <n v="1200"/>
    <x v="2"/>
    <s v="C0388"/>
    <n v="2400"/>
  </r>
  <r>
    <d v="2023-05-05T04:23:13"/>
    <x v="2"/>
    <n v="3"/>
    <n v="1200"/>
    <x v="1"/>
    <s v="C0273"/>
    <n v="3600"/>
  </r>
  <r>
    <d v="2023-05-05T16:04:29"/>
    <x v="2"/>
    <n v="5"/>
    <n v="3500"/>
    <x v="1"/>
    <s v="C0249"/>
    <n v="17500"/>
  </r>
  <r>
    <d v="2023-05-06T03:45:45"/>
    <x v="0"/>
    <n v="6"/>
    <n v="450"/>
    <x v="3"/>
    <s v="C0014"/>
    <n v="2700"/>
  </r>
  <r>
    <d v="2023-05-06T15:27:01"/>
    <x v="0"/>
    <n v="2"/>
    <n v="1800"/>
    <x v="3"/>
    <s v="C0462"/>
    <n v="3600"/>
  </r>
  <r>
    <d v="2023-05-07T03:08:17"/>
    <x v="5"/>
    <n v="4"/>
    <n v="1200"/>
    <x v="2"/>
    <s v="C0013"/>
    <n v="4800"/>
  </r>
  <r>
    <d v="2023-05-07T14:49:33"/>
    <x v="5"/>
    <n v="2"/>
    <n v="450"/>
    <x v="2"/>
    <s v="C0391"/>
    <n v="900"/>
  </r>
  <r>
    <d v="2023-05-08T02:30:49"/>
    <x v="3"/>
    <n v="6"/>
    <n v="3500"/>
    <x v="3"/>
    <s v="C0384"/>
    <n v="21000"/>
  </r>
  <r>
    <d v="2023-05-08T14:12:05"/>
    <x v="5"/>
    <n v="5"/>
    <n v="150"/>
    <x v="2"/>
    <s v="C0044"/>
    <n v="750"/>
  </r>
  <r>
    <d v="2023-05-09T01:53:21"/>
    <x v="2"/>
    <n v="5"/>
    <n v="1800"/>
    <x v="3"/>
    <s v="C0375"/>
    <n v="9000"/>
  </r>
  <r>
    <d v="2023-05-09T13:34:37"/>
    <x v="0"/>
    <n v="4"/>
    <n v="700"/>
    <x v="1"/>
    <s v="C0399"/>
    <n v="2800"/>
  </r>
  <r>
    <d v="2023-05-10T01:15:53"/>
    <x v="5"/>
    <n v="2"/>
    <n v="1200"/>
    <x v="3"/>
    <s v="C0019"/>
    <n v="2400"/>
  </r>
  <r>
    <d v="2023-05-10T12:57:09"/>
    <x v="5"/>
    <n v="5"/>
    <n v="450"/>
    <x v="3"/>
    <s v="C0063"/>
    <n v="2250"/>
  </r>
  <r>
    <d v="2023-05-11T00:38:26"/>
    <x v="3"/>
    <n v="6"/>
    <n v="150"/>
    <x v="0"/>
    <s v="C0491"/>
    <n v="900"/>
  </r>
  <r>
    <d v="2023-05-11T12:19:42"/>
    <x v="4"/>
    <n v="3"/>
    <n v="700"/>
    <x v="3"/>
    <s v="C0239"/>
    <n v="2100"/>
  </r>
  <r>
    <d v="2023-05-12T00:00:58"/>
    <x v="3"/>
    <n v="1"/>
    <n v="450"/>
    <x v="3"/>
    <s v="C0492"/>
    <n v="450"/>
  </r>
  <r>
    <d v="2023-05-12T11:42:14"/>
    <x v="2"/>
    <n v="1"/>
    <n v="450"/>
    <x v="0"/>
    <s v="C0419"/>
    <n v="450"/>
  </r>
  <r>
    <d v="2023-05-12T23:23:30"/>
    <x v="0"/>
    <n v="1"/>
    <n v="700"/>
    <x v="2"/>
    <s v="C0337"/>
    <n v="700"/>
  </r>
  <r>
    <d v="2023-05-13T11:04:46"/>
    <x v="3"/>
    <n v="2"/>
    <n v="150"/>
    <x v="0"/>
    <s v="C0419"/>
    <n v="300"/>
  </r>
  <r>
    <d v="2023-05-13T22:46:02"/>
    <x v="5"/>
    <n v="4"/>
    <n v="3500"/>
    <x v="1"/>
    <s v="C0403"/>
    <n v="14000"/>
  </r>
  <r>
    <d v="2023-05-14T10:27:18"/>
    <x v="0"/>
    <n v="5"/>
    <n v="150"/>
    <x v="0"/>
    <s v="C0404"/>
    <n v="750"/>
  </r>
  <r>
    <d v="2023-05-14T22:08:34"/>
    <x v="0"/>
    <n v="3"/>
    <n v="1800"/>
    <x v="1"/>
    <s v="C0100"/>
    <n v="5400"/>
  </r>
  <r>
    <d v="2023-05-15T09:49:50"/>
    <x v="5"/>
    <n v="6"/>
    <n v="1200"/>
    <x v="2"/>
    <s v="C0163"/>
    <n v="7200"/>
  </r>
  <r>
    <d v="2023-05-15T21:31:06"/>
    <x v="3"/>
    <n v="3"/>
    <n v="700"/>
    <x v="0"/>
    <s v="C0416"/>
    <n v="2100"/>
  </r>
  <r>
    <d v="2023-05-16T09:12:22"/>
    <x v="5"/>
    <n v="6"/>
    <n v="3500"/>
    <x v="0"/>
    <s v="C0122"/>
    <n v="21000"/>
  </r>
  <r>
    <d v="2023-05-16T20:53:38"/>
    <x v="4"/>
    <n v="2"/>
    <n v="700"/>
    <x v="2"/>
    <s v="C0432"/>
    <n v="1400"/>
  </r>
  <r>
    <d v="2023-05-17T08:34:54"/>
    <x v="0"/>
    <n v="1"/>
    <n v="700"/>
    <x v="1"/>
    <s v="C0044"/>
    <n v="700"/>
  </r>
  <r>
    <d v="2023-05-17T20:16:10"/>
    <x v="1"/>
    <n v="2"/>
    <n v="150"/>
    <x v="0"/>
    <s v="C0360"/>
    <n v="300"/>
  </r>
  <r>
    <d v="2023-05-18T07:57:26"/>
    <x v="1"/>
    <n v="4"/>
    <n v="1200"/>
    <x v="1"/>
    <s v="C0408"/>
    <n v="4800"/>
  </r>
  <r>
    <d v="2023-05-18T19:38:42"/>
    <x v="2"/>
    <n v="4"/>
    <n v="1800"/>
    <x v="0"/>
    <s v="C0317"/>
    <n v="7200"/>
  </r>
  <r>
    <d v="2023-05-19T07:19:58"/>
    <x v="5"/>
    <n v="6"/>
    <n v="450"/>
    <x v="3"/>
    <s v="C0381"/>
    <n v="2700"/>
  </r>
  <r>
    <d v="2023-05-19T19:01:14"/>
    <x v="5"/>
    <n v="5"/>
    <n v="450"/>
    <x v="0"/>
    <s v="C0145"/>
    <n v="2250"/>
  </r>
  <r>
    <d v="2023-05-20T06:42:30"/>
    <x v="2"/>
    <n v="5"/>
    <n v="700"/>
    <x v="2"/>
    <s v="C0327"/>
    <n v="3500"/>
  </r>
  <r>
    <d v="2023-05-20T18:23:47"/>
    <x v="2"/>
    <n v="6"/>
    <n v="1200"/>
    <x v="2"/>
    <s v="C0363"/>
    <n v="7200"/>
  </r>
  <r>
    <d v="2023-05-21T06:05:03"/>
    <x v="2"/>
    <n v="4"/>
    <n v="3500"/>
    <x v="1"/>
    <s v="C0050"/>
    <n v="14000"/>
  </r>
  <r>
    <d v="2023-05-21T17:46:19"/>
    <x v="0"/>
    <n v="4"/>
    <n v="150"/>
    <x v="0"/>
    <s v="C0065"/>
    <n v="600"/>
  </r>
  <r>
    <d v="2023-05-22T05:27:35"/>
    <x v="4"/>
    <n v="4"/>
    <n v="1200"/>
    <x v="1"/>
    <s v="C0355"/>
    <n v="4800"/>
  </r>
  <r>
    <d v="2023-05-22T17:08:51"/>
    <x v="5"/>
    <n v="2"/>
    <n v="1200"/>
    <x v="1"/>
    <s v="C0288"/>
    <n v="2400"/>
  </r>
  <r>
    <d v="2023-05-23T04:50:07"/>
    <x v="0"/>
    <n v="4"/>
    <n v="150"/>
    <x v="3"/>
    <s v="C0164"/>
    <n v="600"/>
  </r>
  <r>
    <d v="2023-05-23T16:31:23"/>
    <x v="2"/>
    <n v="3"/>
    <n v="700"/>
    <x v="3"/>
    <s v="C0141"/>
    <n v="2100"/>
  </r>
  <r>
    <d v="2023-05-24T04:12:39"/>
    <x v="5"/>
    <n v="1"/>
    <n v="1200"/>
    <x v="2"/>
    <s v="C0454"/>
    <n v="1200"/>
  </r>
  <r>
    <d v="2023-05-24T15:53:55"/>
    <x v="0"/>
    <n v="4"/>
    <n v="450"/>
    <x v="1"/>
    <s v="C0314"/>
    <n v="1800"/>
  </r>
  <r>
    <d v="2023-05-25T03:35:11"/>
    <x v="4"/>
    <n v="6"/>
    <n v="150"/>
    <x v="2"/>
    <s v="C0128"/>
    <n v="900"/>
  </r>
  <r>
    <d v="2023-05-25T15:16:27"/>
    <x v="0"/>
    <n v="1"/>
    <n v="3500"/>
    <x v="0"/>
    <s v="C0398"/>
    <n v="3500"/>
  </r>
  <r>
    <d v="2023-05-26T02:57:43"/>
    <x v="4"/>
    <n v="2"/>
    <n v="1800"/>
    <x v="1"/>
    <s v="C0421"/>
    <n v="3600"/>
  </r>
  <r>
    <d v="2023-05-26T14:38:59"/>
    <x v="2"/>
    <n v="6"/>
    <n v="700"/>
    <x v="1"/>
    <s v="C0368"/>
    <n v="4200"/>
  </r>
  <r>
    <d v="2023-05-27T02:20:15"/>
    <x v="4"/>
    <n v="1"/>
    <n v="150"/>
    <x v="0"/>
    <s v="C0463"/>
    <n v="150"/>
  </r>
  <r>
    <d v="2023-05-27T14:01:31"/>
    <x v="5"/>
    <n v="6"/>
    <n v="1800"/>
    <x v="0"/>
    <s v="C0239"/>
    <n v="10800"/>
  </r>
  <r>
    <d v="2023-05-28T01:42:47"/>
    <x v="2"/>
    <n v="2"/>
    <n v="1800"/>
    <x v="2"/>
    <s v="C0324"/>
    <n v="3600"/>
  </r>
  <r>
    <d v="2023-05-28T13:24:03"/>
    <x v="5"/>
    <n v="3"/>
    <n v="3500"/>
    <x v="2"/>
    <s v="C0296"/>
    <n v="10500"/>
  </r>
  <r>
    <d v="2023-05-29T01:05:19"/>
    <x v="1"/>
    <n v="2"/>
    <n v="1200"/>
    <x v="0"/>
    <s v="C0187"/>
    <n v="2400"/>
  </r>
  <r>
    <d v="2023-05-29T12:46:35"/>
    <x v="3"/>
    <n v="2"/>
    <n v="3500"/>
    <x v="2"/>
    <s v="C0208"/>
    <n v="7000"/>
  </r>
  <r>
    <d v="2023-05-30T00:27:52"/>
    <x v="4"/>
    <n v="6"/>
    <n v="1200"/>
    <x v="0"/>
    <s v="C0220"/>
    <n v="7200"/>
  </r>
  <r>
    <d v="2023-05-30T12:09:08"/>
    <x v="3"/>
    <n v="5"/>
    <n v="1200"/>
    <x v="1"/>
    <s v="C0400"/>
    <n v="6000"/>
  </r>
  <r>
    <d v="2023-05-30T23:50:24"/>
    <x v="3"/>
    <n v="4"/>
    <n v="150"/>
    <x v="1"/>
    <s v="C0190"/>
    <n v="600"/>
  </r>
  <r>
    <d v="2023-05-31T11:31:40"/>
    <x v="4"/>
    <n v="4"/>
    <n v="150"/>
    <x v="3"/>
    <s v="C0388"/>
    <n v="600"/>
  </r>
  <r>
    <d v="2023-05-31T23:12:56"/>
    <x v="2"/>
    <n v="3"/>
    <n v="700"/>
    <x v="1"/>
    <s v="C0429"/>
    <n v="2100"/>
  </r>
  <r>
    <d v="2023-06-01T10:54:12"/>
    <x v="1"/>
    <n v="3"/>
    <n v="1200"/>
    <x v="0"/>
    <s v="C0346"/>
    <n v="3600"/>
  </r>
  <r>
    <d v="2023-06-01T22:35:28"/>
    <x v="5"/>
    <n v="4"/>
    <n v="1800"/>
    <x v="2"/>
    <s v="C0284"/>
    <n v="7200"/>
  </r>
  <r>
    <d v="2023-06-02T10:16:44"/>
    <x v="0"/>
    <n v="5"/>
    <n v="450"/>
    <x v="3"/>
    <s v="C0352"/>
    <n v="2250"/>
  </r>
  <r>
    <d v="2023-06-02T21:58:00"/>
    <x v="5"/>
    <n v="4"/>
    <n v="700"/>
    <x v="2"/>
    <s v="C0237"/>
    <n v="2800"/>
  </r>
  <r>
    <d v="2023-06-03T09:39:16"/>
    <x v="0"/>
    <n v="5"/>
    <n v="150"/>
    <x v="0"/>
    <s v="C0194"/>
    <n v="750"/>
  </r>
  <r>
    <d v="2023-06-03T21:20:32"/>
    <x v="5"/>
    <n v="3"/>
    <n v="3500"/>
    <x v="1"/>
    <s v="C0287"/>
    <n v="10500"/>
  </r>
  <r>
    <d v="2023-06-04T09:01:48"/>
    <x v="4"/>
    <n v="1"/>
    <n v="700"/>
    <x v="3"/>
    <s v="C0259"/>
    <n v="700"/>
  </r>
  <r>
    <d v="2023-06-04T20:43:04"/>
    <x v="1"/>
    <n v="6"/>
    <n v="700"/>
    <x v="0"/>
    <s v="C0246"/>
    <n v="4200"/>
  </r>
  <r>
    <d v="2023-06-05T08:24:20"/>
    <x v="0"/>
    <n v="3"/>
    <n v="700"/>
    <x v="3"/>
    <s v="C0136"/>
    <n v="2100"/>
  </r>
  <r>
    <d v="2023-06-05T20:05:36"/>
    <x v="2"/>
    <n v="3"/>
    <n v="700"/>
    <x v="3"/>
    <s v="C0280"/>
    <n v="2100"/>
  </r>
  <r>
    <d v="2023-06-06T07:46:52"/>
    <x v="5"/>
    <n v="2"/>
    <n v="450"/>
    <x v="1"/>
    <s v="C0271"/>
    <n v="900"/>
  </r>
  <r>
    <d v="2023-06-06T19:28:08"/>
    <x v="5"/>
    <n v="2"/>
    <n v="3500"/>
    <x v="0"/>
    <s v="C0171"/>
    <n v="7000"/>
  </r>
  <r>
    <d v="2023-06-07T07:09:24"/>
    <x v="0"/>
    <n v="2"/>
    <n v="3500"/>
    <x v="2"/>
    <s v="C0159"/>
    <n v="7000"/>
  </r>
  <r>
    <d v="2023-06-07T18:50:40"/>
    <x v="2"/>
    <n v="6"/>
    <n v="3500"/>
    <x v="3"/>
    <s v="C0201"/>
    <n v="21000"/>
  </r>
  <r>
    <d v="2023-06-08T06:31:56"/>
    <x v="2"/>
    <n v="2"/>
    <n v="1200"/>
    <x v="3"/>
    <s v="C0487"/>
    <n v="2400"/>
  </r>
  <r>
    <d v="2023-06-08T18:13:13"/>
    <x v="4"/>
    <n v="5"/>
    <n v="1800"/>
    <x v="2"/>
    <s v="C0045"/>
    <n v="9000"/>
  </r>
  <r>
    <d v="2023-06-09T05:54:29"/>
    <x v="4"/>
    <n v="4"/>
    <n v="3500"/>
    <x v="0"/>
    <s v="C0450"/>
    <n v="14000"/>
  </r>
  <r>
    <d v="2023-06-09T17:35:45"/>
    <x v="4"/>
    <n v="1"/>
    <n v="700"/>
    <x v="3"/>
    <s v="C0264"/>
    <n v="700"/>
  </r>
  <r>
    <d v="2023-06-10T05:17:01"/>
    <x v="4"/>
    <n v="3"/>
    <n v="700"/>
    <x v="3"/>
    <s v="C0071"/>
    <n v="2100"/>
  </r>
  <r>
    <d v="2023-06-10T16:58:17"/>
    <x v="4"/>
    <n v="5"/>
    <n v="3500"/>
    <x v="3"/>
    <s v="C0364"/>
    <n v="17500"/>
  </r>
  <r>
    <d v="2023-06-11T04:39:33"/>
    <x v="4"/>
    <n v="1"/>
    <n v="3500"/>
    <x v="0"/>
    <s v="C0371"/>
    <n v="3500"/>
  </r>
  <r>
    <d v="2023-06-11T16:20:49"/>
    <x v="1"/>
    <n v="5"/>
    <n v="700"/>
    <x v="0"/>
    <s v="C0103"/>
    <n v="3500"/>
  </r>
  <r>
    <d v="2023-06-12T04:02:05"/>
    <x v="2"/>
    <n v="5"/>
    <n v="1200"/>
    <x v="2"/>
    <s v="C0490"/>
    <n v="6000"/>
  </r>
  <r>
    <d v="2023-06-12T15:43:21"/>
    <x v="4"/>
    <n v="3"/>
    <n v="150"/>
    <x v="0"/>
    <s v="C0125"/>
    <n v="450"/>
  </r>
  <r>
    <d v="2023-06-13T03:24:37"/>
    <x v="2"/>
    <n v="4"/>
    <n v="150"/>
    <x v="0"/>
    <s v="C0313"/>
    <n v="600"/>
  </r>
  <r>
    <d v="2023-06-13T15:05:53"/>
    <x v="2"/>
    <n v="2"/>
    <n v="3500"/>
    <x v="1"/>
    <s v="C0464"/>
    <n v="7000"/>
  </r>
  <r>
    <d v="2023-06-14T02:47:09"/>
    <x v="3"/>
    <n v="6"/>
    <n v="450"/>
    <x v="2"/>
    <s v="C0483"/>
    <n v="2700"/>
  </r>
  <r>
    <d v="2023-06-14T14:28:25"/>
    <x v="1"/>
    <n v="4"/>
    <n v="3500"/>
    <x v="3"/>
    <s v="C0286"/>
    <n v="14000"/>
  </r>
  <r>
    <d v="2023-06-15T02:09:41"/>
    <x v="4"/>
    <n v="6"/>
    <n v="3500"/>
    <x v="0"/>
    <s v="C0458"/>
    <n v="21000"/>
  </r>
  <r>
    <d v="2023-06-15T13:50:57"/>
    <x v="5"/>
    <n v="3"/>
    <n v="150"/>
    <x v="3"/>
    <s v="C0230"/>
    <n v="450"/>
  </r>
  <r>
    <d v="2023-06-16T01:32:13"/>
    <x v="0"/>
    <n v="3"/>
    <n v="700"/>
    <x v="3"/>
    <s v="C0146"/>
    <n v="2100"/>
  </r>
  <r>
    <d v="2023-06-16T13:13:29"/>
    <x v="5"/>
    <n v="3"/>
    <n v="3500"/>
    <x v="1"/>
    <s v="C0370"/>
    <n v="10500"/>
  </r>
  <r>
    <d v="2023-06-17T00:54:45"/>
    <x v="1"/>
    <n v="1"/>
    <n v="700"/>
    <x v="0"/>
    <s v="C0197"/>
    <n v="700"/>
  </r>
  <r>
    <d v="2023-06-17T12:36:01"/>
    <x v="0"/>
    <n v="6"/>
    <n v="700"/>
    <x v="2"/>
    <s v="C0373"/>
    <n v="4200"/>
  </r>
  <r>
    <d v="2023-06-18T00:17:17"/>
    <x v="1"/>
    <n v="4"/>
    <n v="450"/>
    <x v="0"/>
    <s v="C0221"/>
    <n v="1800"/>
  </r>
  <r>
    <d v="2023-06-18T11:58:34"/>
    <x v="2"/>
    <n v="4"/>
    <n v="700"/>
    <x v="3"/>
    <s v="C0423"/>
    <n v="2800"/>
  </r>
  <r>
    <d v="2023-06-18T23:39:50"/>
    <x v="0"/>
    <n v="5"/>
    <n v="150"/>
    <x v="2"/>
    <s v="C0060"/>
    <n v="750"/>
  </r>
  <r>
    <d v="2023-06-19T11:21:06"/>
    <x v="2"/>
    <n v="5"/>
    <n v="1200"/>
    <x v="0"/>
    <s v="C0098"/>
    <n v="6000"/>
  </r>
  <r>
    <d v="2023-06-19T23:02:22"/>
    <x v="5"/>
    <n v="5"/>
    <n v="1200"/>
    <x v="3"/>
    <s v="C0171"/>
    <n v="6000"/>
  </r>
  <r>
    <d v="2023-06-20T10:43:38"/>
    <x v="5"/>
    <n v="3"/>
    <n v="1800"/>
    <x v="3"/>
    <s v="C0382"/>
    <n v="5400"/>
  </r>
  <r>
    <d v="2023-06-20T22:24:54"/>
    <x v="0"/>
    <n v="4"/>
    <n v="3500"/>
    <x v="1"/>
    <s v="C0173"/>
    <n v="14000"/>
  </r>
  <r>
    <d v="2023-06-21T10:06:10"/>
    <x v="0"/>
    <n v="6"/>
    <n v="150"/>
    <x v="1"/>
    <s v="C0151"/>
    <n v="900"/>
  </r>
  <r>
    <d v="2023-06-21T21:47:26"/>
    <x v="4"/>
    <n v="3"/>
    <n v="700"/>
    <x v="1"/>
    <s v="C0453"/>
    <n v="2100"/>
  </r>
  <r>
    <d v="2023-06-22T09:28:42"/>
    <x v="1"/>
    <n v="1"/>
    <n v="1200"/>
    <x v="3"/>
    <s v="C0350"/>
    <n v="1200"/>
  </r>
  <r>
    <d v="2023-06-22T21:09:58"/>
    <x v="4"/>
    <n v="5"/>
    <n v="150"/>
    <x v="0"/>
    <s v="C0390"/>
    <n v="750"/>
  </r>
  <r>
    <d v="2023-06-23T08:51:14"/>
    <x v="1"/>
    <n v="3"/>
    <n v="1200"/>
    <x v="1"/>
    <s v="C0440"/>
    <n v="3600"/>
  </r>
  <r>
    <d v="2023-06-23T20:32:30"/>
    <x v="4"/>
    <n v="3"/>
    <n v="700"/>
    <x v="0"/>
    <s v="C0122"/>
    <n v="2100"/>
  </r>
  <r>
    <d v="2023-06-24T08:13:46"/>
    <x v="2"/>
    <n v="1"/>
    <n v="1200"/>
    <x v="1"/>
    <s v="C0494"/>
    <n v="1200"/>
  </r>
  <r>
    <d v="2023-06-24T19:55:02"/>
    <x v="0"/>
    <n v="2"/>
    <n v="3500"/>
    <x v="2"/>
    <s v="C0108"/>
    <n v="7000"/>
  </r>
  <r>
    <d v="2023-06-25T07:36:18"/>
    <x v="5"/>
    <n v="4"/>
    <n v="3500"/>
    <x v="2"/>
    <s v="C0004"/>
    <n v="14000"/>
  </r>
  <r>
    <d v="2023-06-25T19:17:34"/>
    <x v="1"/>
    <n v="6"/>
    <n v="1800"/>
    <x v="1"/>
    <s v="C0093"/>
    <n v="10800"/>
  </r>
  <r>
    <d v="2023-06-26T06:58:50"/>
    <x v="1"/>
    <n v="2"/>
    <n v="1800"/>
    <x v="3"/>
    <s v="C0407"/>
    <n v="3600"/>
  </r>
  <r>
    <d v="2023-06-26T18:40:06"/>
    <x v="5"/>
    <n v="5"/>
    <n v="1200"/>
    <x v="1"/>
    <s v="C0006"/>
    <n v="6000"/>
  </r>
  <r>
    <d v="2023-06-27T06:21:22"/>
    <x v="4"/>
    <n v="3"/>
    <n v="150"/>
    <x v="1"/>
    <s v="C0288"/>
    <n v="450"/>
  </r>
  <r>
    <d v="2023-06-27T18:02:39"/>
    <x v="1"/>
    <n v="1"/>
    <n v="3500"/>
    <x v="3"/>
    <s v="C0106"/>
    <n v="3500"/>
  </r>
  <r>
    <d v="2023-06-28T05:43:55"/>
    <x v="2"/>
    <n v="1"/>
    <n v="150"/>
    <x v="2"/>
    <s v="C0146"/>
    <n v="150"/>
  </r>
  <r>
    <d v="2023-06-28T17:25:11"/>
    <x v="0"/>
    <n v="4"/>
    <n v="150"/>
    <x v="0"/>
    <s v="C0271"/>
    <n v="600"/>
  </r>
  <r>
    <d v="2023-06-29T05:06:27"/>
    <x v="5"/>
    <n v="2"/>
    <n v="1200"/>
    <x v="1"/>
    <s v="C0424"/>
    <n v="2400"/>
  </r>
  <r>
    <d v="2023-06-29T16:47:43"/>
    <x v="0"/>
    <n v="4"/>
    <n v="150"/>
    <x v="3"/>
    <s v="C0378"/>
    <n v="600"/>
  </r>
  <r>
    <d v="2023-06-30T04:28:59"/>
    <x v="1"/>
    <n v="3"/>
    <n v="3500"/>
    <x v="1"/>
    <s v="C0096"/>
    <n v="10500"/>
  </r>
  <r>
    <d v="2023-06-30T16:10:15"/>
    <x v="1"/>
    <n v="4"/>
    <n v="700"/>
    <x v="3"/>
    <s v="C0457"/>
    <n v="2800"/>
  </r>
  <r>
    <d v="2023-07-01T03:51:31"/>
    <x v="5"/>
    <n v="6"/>
    <n v="1800"/>
    <x v="0"/>
    <s v="C0229"/>
    <n v="10800"/>
  </r>
  <r>
    <d v="2023-07-01T15:32:47"/>
    <x v="2"/>
    <n v="1"/>
    <n v="700"/>
    <x v="0"/>
    <s v="C0202"/>
    <n v="700"/>
  </r>
  <r>
    <d v="2023-07-02T03:14:03"/>
    <x v="3"/>
    <n v="1"/>
    <n v="150"/>
    <x v="2"/>
    <s v="C0212"/>
    <n v="150"/>
  </r>
  <r>
    <d v="2023-07-02T14:55:19"/>
    <x v="5"/>
    <n v="5"/>
    <n v="700"/>
    <x v="3"/>
    <s v="C0006"/>
    <n v="3500"/>
  </r>
  <r>
    <d v="2023-07-03T02:36:35"/>
    <x v="3"/>
    <n v="5"/>
    <n v="3500"/>
    <x v="3"/>
    <s v="C0112"/>
    <n v="17500"/>
  </r>
  <r>
    <d v="2023-07-03T14:17:51"/>
    <x v="4"/>
    <n v="3"/>
    <n v="3500"/>
    <x v="2"/>
    <s v="C0376"/>
    <n v="10500"/>
  </r>
  <r>
    <d v="2023-07-04T01:59:07"/>
    <x v="3"/>
    <n v="6"/>
    <n v="150"/>
    <x v="2"/>
    <s v="C0379"/>
    <n v="900"/>
  </r>
  <r>
    <d v="2023-07-04T13:40:23"/>
    <x v="2"/>
    <n v="2"/>
    <n v="1200"/>
    <x v="3"/>
    <s v="C0447"/>
    <n v="2400"/>
  </r>
  <r>
    <d v="2023-07-05T01:21:39"/>
    <x v="4"/>
    <n v="4"/>
    <n v="700"/>
    <x v="2"/>
    <s v="C0323"/>
    <n v="2800"/>
  </r>
  <r>
    <d v="2023-07-05T13:02:55"/>
    <x v="3"/>
    <n v="3"/>
    <n v="1200"/>
    <x v="0"/>
    <s v="C0106"/>
    <n v="3600"/>
  </r>
  <r>
    <d v="2023-07-06T00:44:11"/>
    <x v="4"/>
    <n v="5"/>
    <n v="1200"/>
    <x v="1"/>
    <s v="C0139"/>
    <n v="6000"/>
  </r>
  <r>
    <d v="2023-07-06T12:25:27"/>
    <x v="3"/>
    <n v="4"/>
    <n v="450"/>
    <x v="0"/>
    <s v="C0299"/>
    <n v="1800"/>
  </r>
  <r>
    <d v="2023-07-07T00:06:43"/>
    <x v="2"/>
    <n v="5"/>
    <n v="150"/>
    <x v="2"/>
    <s v="C0401"/>
    <n v="750"/>
  </r>
  <r>
    <d v="2023-07-07T11:48:00"/>
    <x v="3"/>
    <n v="4"/>
    <n v="1800"/>
    <x v="3"/>
    <s v="C0096"/>
    <n v="7200"/>
  </r>
  <r>
    <d v="2023-07-07T23:29:16"/>
    <x v="3"/>
    <n v="2"/>
    <n v="3500"/>
    <x v="3"/>
    <s v="C0388"/>
    <n v="7000"/>
  </r>
  <r>
    <d v="2023-07-08T11:10:32"/>
    <x v="3"/>
    <n v="3"/>
    <n v="3500"/>
    <x v="0"/>
    <s v="C0447"/>
    <n v="10500"/>
  </r>
  <r>
    <d v="2023-07-08T22:51:48"/>
    <x v="5"/>
    <n v="4"/>
    <n v="150"/>
    <x v="3"/>
    <s v="C0452"/>
    <n v="600"/>
  </r>
  <r>
    <d v="2023-07-09T10:33:04"/>
    <x v="5"/>
    <n v="6"/>
    <n v="1800"/>
    <x v="2"/>
    <s v="C0337"/>
    <n v="10800"/>
  </r>
  <r>
    <d v="2023-07-09T22:14:20"/>
    <x v="5"/>
    <n v="1"/>
    <n v="3500"/>
    <x v="0"/>
    <s v="C0297"/>
    <n v="3500"/>
  </r>
  <r>
    <d v="2023-07-10T09:55:36"/>
    <x v="2"/>
    <n v="6"/>
    <n v="150"/>
    <x v="3"/>
    <s v="C0467"/>
    <n v="900"/>
  </r>
  <r>
    <d v="2023-07-10T21:36:52"/>
    <x v="4"/>
    <n v="6"/>
    <n v="3500"/>
    <x v="1"/>
    <s v="C0389"/>
    <n v="21000"/>
  </r>
  <r>
    <d v="2023-07-11T09:18:08"/>
    <x v="1"/>
    <n v="1"/>
    <n v="1200"/>
    <x v="1"/>
    <s v="C0416"/>
    <n v="1200"/>
  </r>
  <r>
    <d v="2023-07-11T20:59:24"/>
    <x v="3"/>
    <n v="6"/>
    <n v="700"/>
    <x v="2"/>
    <s v="C0214"/>
    <n v="4200"/>
  </r>
  <r>
    <d v="2023-07-12T08:40:40"/>
    <x v="3"/>
    <n v="4"/>
    <n v="700"/>
    <x v="3"/>
    <s v="C0454"/>
    <n v="2800"/>
  </r>
  <r>
    <d v="2023-07-12T20:21:56"/>
    <x v="2"/>
    <n v="4"/>
    <n v="3500"/>
    <x v="2"/>
    <s v="C0291"/>
    <n v="14000"/>
  </r>
  <r>
    <d v="2023-07-13T08:03:12"/>
    <x v="3"/>
    <n v="4"/>
    <n v="450"/>
    <x v="0"/>
    <s v="C0022"/>
    <n v="1800"/>
  </r>
  <r>
    <d v="2023-07-13T19:44:28"/>
    <x v="5"/>
    <n v="1"/>
    <n v="1800"/>
    <x v="1"/>
    <s v="C0193"/>
    <n v="1800"/>
  </r>
  <r>
    <d v="2023-07-14T07:25:44"/>
    <x v="1"/>
    <n v="6"/>
    <n v="1800"/>
    <x v="0"/>
    <s v="C0468"/>
    <n v="10800"/>
  </r>
  <r>
    <d v="2023-07-14T19:07:00"/>
    <x v="0"/>
    <n v="1"/>
    <n v="1800"/>
    <x v="3"/>
    <s v="C0150"/>
    <n v="1800"/>
  </r>
  <r>
    <d v="2023-07-15T06:48:16"/>
    <x v="3"/>
    <n v="4"/>
    <n v="1200"/>
    <x v="2"/>
    <s v="C0368"/>
    <n v="4800"/>
  </r>
  <r>
    <d v="2023-07-15T18:29:32"/>
    <x v="5"/>
    <n v="6"/>
    <n v="1800"/>
    <x v="2"/>
    <s v="C0247"/>
    <n v="10800"/>
  </r>
  <r>
    <d v="2023-07-16T06:10:48"/>
    <x v="0"/>
    <n v="6"/>
    <n v="700"/>
    <x v="2"/>
    <s v="C0267"/>
    <n v="4200"/>
  </r>
  <r>
    <d v="2023-07-16T17:52:04"/>
    <x v="1"/>
    <n v="5"/>
    <n v="1200"/>
    <x v="0"/>
    <s v="C0461"/>
    <n v="6000"/>
  </r>
  <r>
    <d v="2023-07-17T05:33:21"/>
    <x v="0"/>
    <n v="5"/>
    <n v="150"/>
    <x v="1"/>
    <s v="C0251"/>
    <n v="750"/>
  </r>
  <r>
    <d v="2023-07-17T17:14:37"/>
    <x v="5"/>
    <n v="2"/>
    <n v="1800"/>
    <x v="0"/>
    <s v="C0490"/>
    <n v="3600"/>
  </r>
  <r>
    <d v="2023-07-18T04:55:53"/>
    <x v="4"/>
    <n v="3"/>
    <n v="1800"/>
    <x v="0"/>
    <s v="C0003"/>
    <n v="5400"/>
  </r>
  <r>
    <d v="2023-07-18T16:37:09"/>
    <x v="4"/>
    <n v="5"/>
    <n v="150"/>
    <x v="3"/>
    <s v="C0393"/>
    <n v="750"/>
  </r>
  <r>
    <d v="2023-07-19T04:18:25"/>
    <x v="0"/>
    <n v="1"/>
    <n v="1800"/>
    <x v="3"/>
    <s v="C0316"/>
    <n v="1800"/>
  </r>
  <r>
    <d v="2023-07-19T15:59:41"/>
    <x v="2"/>
    <n v="5"/>
    <n v="150"/>
    <x v="3"/>
    <s v="C0076"/>
    <n v="750"/>
  </r>
  <r>
    <d v="2023-07-20T03:40:57"/>
    <x v="0"/>
    <n v="2"/>
    <n v="1200"/>
    <x v="1"/>
    <s v="C0087"/>
    <n v="2400"/>
  </r>
  <r>
    <d v="2023-07-20T15:22:13"/>
    <x v="3"/>
    <n v="6"/>
    <n v="700"/>
    <x v="1"/>
    <s v="C0270"/>
    <n v="4200"/>
  </r>
  <r>
    <d v="2023-07-21T03:03:29"/>
    <x v="3"/>
    <n v="2"/>
    <n v="150"/>
    <x v="3"/>
    <s v="C0225"/>
    <n v="300"/>
  </r>
  <r>
    <d v="2023-07-21T14:44:45"/>
    <x v="4"/>
    <n v="6"/>
    <n v="450"/>
    <x v="3"/>
    <s v="C0018"/>
    <n v="2700"/>
  </r>
  <r>
    <d v="2023-07-22T02:26:01"/>
    <x v="2"/>
    <n v="6"/>
    <n v="150"/>
    <x v="1"/>
    <s v="C0113"/>
    <n v="900"/>
  </r>
  <r>
    <d v="2023-07-22T14:07:17"/>
    <x v="5"/>
    <n v="3"/>
    <n v="1800"/>
    <x v="2"/>
    <s v="C0251"/>
    <n v="5400"/>
  </r>
  <r>
    <d v="2023-07-23T01:48:33"/>
    <x v="3"/>
    <n v="5"/>
    <n v="1200"/>
    <x v="1"/>
    <s v="C0233"/>
    <n v="6000"/>
  </r>
  <r>
    <d v="2023-07-23T13:29:49"/>
    <x v="4"/>
    <n v="1"/>
    <n v="3500"/>
    <x v="1"/>
    <s v="C0329"/>
    <n v="3500"/>
  </r>
  <r>
    <d v="2023-07-24T01:11:05"/>
    <x v="1"/>
    <n v="1"/>
    <n v="1200"/>
    <x v="1"/>
    <s v="C0279"/>
    <n v="1200"/>
  </r>
  <r>
    <d v="2023-07-24T12:52:21"/>
    <x v="4"/>
    <n v="4"/>
    <n v="3500"/>
    <x v="3"/>
    <s v="C0202"/>
    <n v="14000"/>
  </r>
  <r>
    <d v="2023-07-25T00:33:37"/>
    <x v="3"/>
    <n v="6"/>
    <n v="150"/>
    <x v="2"/>
    <s v="C0083"/>
    <n v="900"/>
  </r>
  <r>
    <d v="2023-07-25T12:14:53"/>
    <x v="3"/>
    <n v="1"/>
    <n v="700"/>
    <x v="1"/>
    <s v="C0125"/>
    <n v="700"/>
  </r>
  <r>
    <d v="2023-07-25T23:56:09"/>
    <x v="4"/>
    <n v="3"/>
    <n v="450"/>
    <x v="3"/>
    <s v="C0175"/>
    <n v="1350"/>
  </r>
  <r>
    <d v="2023-07-26T11:37:25"/>
    <x v="5"/>
    <n v="6"/>
    <n v="1200"/>
    <x v="0"/>
    <s v="C0069"/>
    <n v="7200"/>
  </r>
  <r>
    <d v="2023-07-26T23:18:42"/>
    <x v="0"/>
    <n v="3"/>
    <n v="1800"/>
    <x v="0"/>
    <s v="C0047"/>
    <n v="5400"/>
  </r>
  <r>
    <d v="2023-07-27T10:59:58"/>
    <x v="3"/>
    <n v="1"/>
    <n v="3500"/>
    <x v="1"/>
    <s v="C0372"/>
    <n v="3500"/>
  </r>
  <r>
    <d v="2023-07-27T22:41:14"/>
    <x v="4"/>
    <n v="1"/>
    <n v="1800"/>
    <x v="0"/>
    <s v="C0256"/>
    <n v="1800"/>
  </r>
  <r>
    <d v="2023-07-28T10:22:30"/>
    <x v="4"/>
    <n v="4"/>
    <n v="700"/>
    <x v="2"/>
    <s v="C0215"/>
    <n v="2800"/>
  </r>
  <r>
    <d v="2023-07-28T22:03:46"/>
    <x v="2"/>
    <n v="1"/>
    <n v="3500"/>
    <x v="0"/>
    <s v="C0030"/>
    <n v="3500"/>
  </r>
  <r>
    <d v="2023-07-29T09:45:02"/>
    <x v="0"/>
    <n v="6"/>
    <n v="1200"/>
    <x v="0"/>
    <s v="C0281"/>
    <n v="7200"/>
  </r>
  <r>
    <d v="2023-07-29T21:26:18"/>
    <x v="1"/>
    <n v="6"/>
    <n v="150"/>
    <x v="2"/>
    <s v="C0412"/>
    <n v="900"/>
  </r>
  <r>
    <d v="2023-07-30T09:07:34"/>
    <x v="5"/>
    <n v="6"/>
    <n v="1800"/>
    <x v="1"/>
    <s v="C0482"/>
    <n v="10800"/>
  </r>
  <r>
    <d v="2023-07-30T20:48:50"/>
    <x v="1"/>
    <n v="4"/>
    <n v="700"/>
    <x v="1"/>
    <s v="C0237"/>
    <n v="2800"/>
  </r>
  <r>
    <d v="2023-07-31T08:30:06"/>
    <x v="0"/>
    <n v="4"/>
    <n v="1200"/>
    <x v="2"/>
    <s v="C0248"/>
    <n v="4800"/>
  </r>
  <r>
    <d v="2023-07-31T20:11:22"/>
    <x v="0"/>
    <n v="1"/>
    <n v="1200"/>
    <x v="2"/>
    <s v="C0368"/>
    <n v="1200"/>
  </r>
  <r>
    <d v="2023-08-01T07:52:38"/>
    <x v="0"/>
    <n v="2"/>
    <n v="1200"/>
    <x v="2"/>
    <s v="C0495"/>
    <n v="2400"/>
  </r>
  <r>
    <d v="2023-08-01T19:33:54"/>
    <x v="1"/>
    <n v="2"/>
    <n v="1200"/>
    <x v="0"/>
    <s v="C0025"/>
    <n v="2400"/>
  </r>
  <r>
    <d v="2023-08-02T07:15:10"/>
    <x v="0"/>
    <n v="4"/>
    <n v="3500"/>
    <x v="2"/>
    <s v="C0074"/>
    <n v="14000"/>
  </r>
  <r>
    <d v="2023-08-02T18:56:26"/>
    <x v="4"/>
    <n v="1"/>
    <n v="1200"/>
    <x v="3"/>
    <s v="C0206"/>
    <n v="1200"/>
  </r>
  <r>
    <d v="2023-08-03T06:37:42"/>
    <x v="1"/>
    <n v="2"/>
    <n v="1800"/>
    <x v="0"/>
    <s v="C0490"/>
    <n v="3600"/>
  </r>
  <r>
    <d v="2023-08-03T18:18:58"/>
    <x v="0"/>
    <n v="1"/>
    <n v="700"/>
    <x v="1"/>
    <s v="C0494"/>
    <n v="700"/>
  </r>
  <r>
    <d v="2023-08-04T06:00:14"/>
    <x v="4"/>
    <n v="1"/>
    <n v="3500"/>
    <x v="1"/>
    <s v="C0314"/>
    <n v="3500"/>
  </r>
  <r>
    <d v="2023-08-04T17:41:30"/>
    <x v="2"/>
    <n v="1"/>
    <n v="1200"/>
    <x v="1"/>
    <s v="C0094"/>
    <n v="1200"/>
  </r>
  <r>
    <d v="2023-08-05T05:22:47"/>
    <x v="0"/>
    <n v="5"/>
    <n v="450"/>
    <x v="0"/>
    <s v="C0375"/>
    <n v="2250"/>
  </r>
  <r>
    <d v="2023-08-05T17:04:03"/>
    <x v="1"/>
    <n v="6"/>
    <n v="450"/>
    <x v="3"/>
    <s v="C0127"/>
    <n v="2700"/>
  </r>
  <r>
    <d v="2023-08-06T04:45:19"/>
    <x v="3"/>
    <n v="1"/>
    <n v="700"/>
    <x v="2"/>
    <s v="C0425"/>
    <n v="700"/>
  </r>
  <r>
    <d v="2023-08-06T16:26:35"/>
    <x v="0"/>
    <n v="5"/>
    <n v="150"/>
    <x v="2"/>
    <s v="C0025"/>
    <n v="750"/>
  </r>
  <r>
    <d v="2023-08-07T04:07:51"/>
    <x v="3"/>
    <n v="4"/>
    <n v="150"/>
    <x v="1"/>
    <s v="C0334"/>
    <n v="600"/>
  </r>
  <r>
    <d v="2023-08-07T15:49:07"/>
    <x v="4"/>
    <n v="2"/>
    <n v="3500"/>
    <x v="1"/>
    <s v="C0355"/>
    <n v="7000"/>
  </r>
  <r>
    <d v="2023-08-08T03:30:23"/>
    <x v="2"/>
    <n v="6"/>
    <n v="3500"/>
    <x v="0"/>
    <s v="C0116"/>
    <n v="21000"/>
  </r>
  <r>
    <d v="2023-08-08T15:11:39"/>
    <x v="5"/>
    <n v="2"/>
    <n v="3500"/>
    <x v="3"/>
    <s v="C0048"/>
    <n v="7000"/>
  </r>
  <r>
    <d v="2023-08-09T02:52:55"/>
    <x v="2"/>
    <n v="6"/>
    <n v="150"/>
    <x v="2"/>
    <s v="C0226"/>
    <n v="900"/>
  </r>
  <r>
    <d v="2023-08-09T14:34:11"/>
    <x v="0"/>
    <n v="2"/>
    <n v="450"/>
    <x v="0"/>
    <s v="C0266"/>
    <n v="900"/>
  </r>
  <r>
    <d v="2023-08-10T02:15:27"/>
    <x v="3"/>
    <n v="6"/>
    <n v="150"/>
    <x v="2"/>
    <s v="C0099"/>
    <n v="900"/>
  </r>
  <r>
    <d v="2023-08-10T13:56:43"/>
    <x v="3"/>
    <n v="2"/>
    <n v="1800"/>
    <x v="1"/>
    <s v="C0459"/>
    <n v="3600"/>
  </r>
  <r>
    <d v="2023-08-11T01:37:59"/>
    <x v="1"/>
    <n v="2"/>
    <n v="1200"/>
    <x v="2"/>
    <s v="C0011"/>
    <n v="2400"/>
  </r>
  <r>
    <d v="2023-08-11T13:19:15"/>
    <x v="3"/>
    <n v="2"/>
    <n v="3500"/>
    <x v="3"/>
    <s v="C0085"/>
    <n v="7000"/>
  </r>
  <r>
    <d v="2023-08-12T01:00:31"/>
    <x v="1"/>
    <n v="2"/>
    <n v="450"/>
    <x v="3"/>
    <s v="C0405"/>
    <n v="900"/>
  </r>
  <r>
    <d v="2023-08-12T12:41:47"/>
    <x v="4"/>
    <n v="4"/>
    <n v="700"/>
    <x v="1"/>
    <s v="C0214"/>
    <n v="2800"/>
  </r>
  <r>
    <d v="2023-08-13T00:23:03"/>
    <x v="5"/>
    <n v="1"/>
    <n v="700"/>
    <x v="3"/>
    <s v="C0173"/>
    <n v="700"/>
  </r>
  <r>
    <d v="2023-08-13T12:04:19"/>
    <x v="0"/>
    <n v="3"/>
    <n v="1200"/>
    <x v="3"/>
    <s v="C0391"/>
    <n v="3600"/>
  </r>
  <r>
    <d v="2023-08-13T23:45:35"/>
    <x v="1"/>
    <n v="5"/>
    <n v="450"/>
    <x v="0"/>
    <s v="C0209"/>
    <n v="2250"/>
  </r>
  <r>
    <d v="2023-08-14T11:26:51"/>
    <x v="5"/>
    <n v="3"/>
    <n v="150"/>
    <x v="2"/>
    <s v="C0448"/>
    <n v="450"/>
  </r>
  <r>
    <d v="2023-08-14T23:08:08"/>
    <x v="3"/>
    <n v="3"/>
    <n v="150"/>
    <x v="1"/>
    <s v="C0382"/>
    <n v="450"/>
  </r>
  <r>
    <d v="2023-08-15T10:49:24"/>
    <x v="3"/>
    <n v="6"/>
    <n v="1800"/>
    <x v="1"/>
    <s v="C0064"/>
    <n v="10800"/>
  </r>
  <r>
    <d v="2023-08-15T22:30:40"/>
    <x v="5"/>
    <n v="1"/>
    <n v="1800"/>
    <x v="1"/>
    <s v="C0258"/>
    <n v="1800"/>
  </r>
  <r>
    <d v="2023-08-16T10:11:56"/>
    <x v="3"/>
    <n v="6"/>
    <n v="150"/>
    <x v="1"/>
    <s v="C0332"/>
    <n v="900"/>
  </r>
  <r>
    <d v="2023-08-16T21:53:12"/>
    <x v="4"/>
    <n v="1"/>
    <n v="700"/>
    <x v="1"/>
    <s v="C0121"/>
    <n v="700"/>
  </r>
  <r>
    <d v="2023-08-17T09:34:28"/>
    <x v="4"/>
    <n v="1"/>
    <n v="3500"/>
    <x v="3"/>
    <s v="C0298"/>
    <n v="3500"/>
  </r>
  <r>
    <d v="2023-08-17T21:15:44"/>
    <x v="5"/>
    <n v="2"/>
    <n v="700"/>
    <x v="0"/>
    <s v="C0466"/>
    <n v="1400"/>
  </r>
  <r>
    <d v="2023-08-18T08:57:00"/>
    <x v="1"/>
    <n v="4"/>
    <n v="1800"/>
    <x v="1"/>
    <s v="C0054"/>
    <n v="7200"/>
  </r>
  <r>
    <d v="2023-08-18T20:38:16"/>
    <x v="1"/>
    <n v="2"/>
    <n v="1200"/>
    <x v="0"/>
    <s v="C0331"/>
    <n v="2400"/>
  </r>
  <r>
    <d v="2023-08-19T08:19:32"/>
    <x v="5"/>
    <n v="4"/>
    <n v="150"/>
    <x v="0"/>
    <s v="C0272"/>
    <n v="600"/>
  </r>
  <r>
    <d v="2023-08-19T20:00:48"/>
    <x v="1"/>
    <n v="6"/>
    <n v="1800"/>
    <x v="3"/>
    <s v="C0241"/>
    <n v="10800"/>
  </r>
  <r>
    <d v="2023-08-20T07:42:04"/>
    <x v="1"/>
    <n v="4"/>
    <n v="1800"/>
    <x v="1"/>
    <s v="C0243"/>
    <n v="7200"/>
  </r>
  <r>
    <d v="2023-08-20T19:23:20"/>
    <x v="4"/>
    <n v="6"/>
    <n v="3500"/>
    <x v="3"/>
    <s v="C0018"/>
    <n v="21000"/>
  </r>
  <r>
    <d v="2023-08-21T07:04:36"/>
    <x v="1"/>
    <n v="3"/>
    <n v="150"/>
    <x v="1"/>
    <s v="C0483"/>
    <n v="450"/>
  </r>
  <r>
    <d v="2023-08-21T18:45:52"/>
    <x v="2"/>
    <n v="3"/>
    <n v="3500"/>
    <x v="3"/>
    <s v="C0187"/>
    <n v="10500"/>
  </r>
  <r>
    <d v="2023-08-22T06:27:08"/>
    <x v="0"/>
    <n v="4"/>
    <n v="150"/>
    <x v="0"/>
    <s v="C0346"/>
    <n v="600"/>
  </r>
  <r>
    <d v="2023-08-22T18:08:24"/>
    <x v="3"/>
    <n v="4"/>
    <n v="3500"/>
    <x v="1"/>
    <s v="C0144"/>
    <n v="14000"/>
  </r>
  <r>
    <d v="2023-08-23T05:49:40"/>
    <x v="2"/>
    <n v="6"/>
    <n v="700"/>
    <x v="2"/>
    <s v="C0262"/>
    <n v="4200"/>
  </r>
  <r>
    <d v="2023-08-23T17:30:56"/>
    <x v="1"/>
    <n v="2"/>
    <n v="1200"/>
    <x v="0"/>
    <s v="C0441"/>
    <n v="2400"/>
  </r>
  <r>
    <d v="2023-08-24T05:12:12"/>
    <x v="4"/>
    <n v="6"/>
    <n v="1200"/>
    <x v="2"/>
    <s v="C0364"/>
    <n v="7200"/>
  </r>
  <r>
    <d v="2023-08-24T16:53:29"/>
    <x v="5"/>
    <n v="2"/>
    <n v="150"/>
    <x v="0"/>
    <s v="C0491"/>
    <n v="300"/>
  </r>
  <r>
    <d v="2023-08-25T04:34:45"/>
    <x v="1"/>
    <n v="3"/>
    <n v="450"/>
    <x v="3"/>
    <s v="C0431"/>
    <n v="1350"/>
  </r>
  <r>
    <d v="2023-08-25T16:16:01"/>
    <x v="4"/>
    <n v="1"/>
    <n v="1800"/>
    <x v="1"/>
    <s v="C0239"/>
    <n v="1800"/>
  </r>
  <r>
    <d v="2023-08-26T03:57:17"/>
    <x v="0"/>
    <n v="4"/>
    <n v="1800"/>
    <x v="0"/>
    <s v="C0304"/>
    <n v="7200"/>
  </r>
  <r>
    <d v="2023-08-26T15:38:33"/>
    <x v="1"/>
    <n v="2"/>
    <n v="150"/>
    <x v="3"/>
    <s v="C0298"/>
    <n v="300"/>
  </r>
  <r>
    <d v="2023-08-27T03:19:49"/>
    <x v="5"/>
    <n v="6"/>
    <n v="3500"/>
    <x v="1"/>
    <s v="C0076"/>
    <n v="21000"/>
  </r>
  <r>
    <d v="2023-08-27T15:01:05"/>
    <x v="4"/>
    <n v="3"/>
    <n v="450"/>
    <x v="1"/>
    <s v="C0188"/>
    <n v="1350"/>
  </r>
  <r>
    <d v="2023-08-28T02:42:21"/>
    <x v="4"/>
    <n v="2"/>
    <n v="700"/>
    <x v="0"/>
    <s v="C0333"/>
    <n v="1400"/>
  </r>
  <r>
    <d v="2023-08-28T14:23:37"/>
    <x v="4"/>
    <n v="6"/>
    <n v="3500"/>
    <x v="1"/>
    <s v="C0388"/>
    <n v="21000"/>
  </r>
  <r>
    <d v="2023-08-29T02:04:53"/>
    <x v="0"/>
    <n v="4"/>
    <n v="3500"/>
    <x v="0"/>
    <s v="C0487"/>
    <n v="14000"/>
  </r>
  <r>
    <d v="2023-08-29T13:46:09"/>
    <x v="1"/>
    <n v="4"/>
    <n v="150"/>
    <x v="1"/>
    <s v="C0246"/>
    <n v="600"/>
  </r>
  <r>
    <d v="2023-08-30T01:27:25"/>
    <x v="0"/>
    <n v="5"/>
    <n v="150"/>
    <x v="2"/>
    <s v="C0130"/>
    <n v="750"/>
  </r>
  <r>
    <d v="2023-08-30T13:08:41"/>
    <x v="3"/>
    <n v="1"/>
    <n v="1800"/>
    <x v="3"/>
    <s v="C0474"/>
    <n v="1800"/>
  </r>
  <r>
    <d v="2023-08-31T00:49:57"/>
    <x v="3"/>
    <n v="5"/>
    <n v="150"/>
    <x v="2"/>
    <s v="C0315"/>
    <n v="750"/>
  </r>
  <r>
    <d v="2023-08-31T12:31:13"/>
    <x v="1"/>
    <n v="3"/>
    <n v="150"/>
    <x v="0"/>
    <s v="C0411"/>
    <n v="450"/>
  </r>
  <r>
    <d v="2023-09-01T00:12:29"/>
    <x v="0"/>
    <n v="2"/>
    <n v="150"/>
    <x v="2"/>
    <s v="C0283"/>
    <n v="300"/>
  </r>
  <r>
    <d v="2023-09-01T11:53:45"/>
    <x v="5"/>
    <n v="3"/>
    <n v="1800"/>
    <x v="0"/>
    <s v="C0079"/>
    <n v="5400"/>
  </r>
  <r>
    <d v="2023-09-01T23:35:01"/>
    <x v="4"/>
    <n v="6"/>
    <n v="700"/>
    <x v="1"/>
    <s v="C0072"/>
    <n v="4200"/>
  </r>
  <r>
    <d v="2023-09-02T11:16:17"/>
    <x v="4"/>
    <n v="4"/>
    <n v="700"/>
    <x v="1"/>
    <s v="C0263"/>
    <n v="2800"/>
  </r>
  <r>
    <d v="2023-09-02T22:57:34"/>
    <x v="1"/>
    <n v="5"/>
    <n v="150"/>
    <x v="0"/>
    <s v="C0191"/>
    <n v="750"/>
  </r>
  <r>
    <d v="2023-09-03T10:38:50"/>
    <x v="3"/>
    <n v="5"/>
    <n v="1800"/>
    <x v="2"/>
    <s v="C0367"/>
    <n v="9000"/>
  </r>
  <r>
    <d v="2023-09-03T22:20:06"/>
    <x v="3"/>
    <n v="5"/>
    <n v="700"/>
    <x v="1"/>
    <s v="C0375"/>
    <n v="3500"/>
  </r>
  <r>
    <d v="2023-09-04T10:01:22"/>
    <x v="4"/>
    <n v="3"/>
    <n v="3500"/>
    <x v="3"/>
    <s v="C0430"/>
    <n v="10500"/>
  </r>
  <r>
    <d v="2023-09-04T21:42:38"/>
    <x v="1"/>
    <n v="4"/>
    <n v="700"/>
    <x v="1"/>
    <s v="C0063"/>
    <n v="2800"/>
  </r>
  <r>
    <d v="2023-09-05T09:23:54"/>
    <x v="0"/>
    <n v="2"/>
    <n v="700"/>
    <x v="3"/>
    <s v="C0488"/>
    <n v="1400"/>
  </r>
  <r>
    <d v="2023-09-05T21:05:10"/>
    <x v="3"/>
    <n v="6"/>
    <n v="1800"/>
    <x v="2"/>
    <s v="C0380"/>
    <n v="10800"/>
  </r>
  <r>
    <d v="2023-09-06T08:46:26"/>
    <x v="0"/>
    <n v="2"/>
    <n v="3500"/>
    <x v="3"/>
    <s v="C0012"/>
    <n v="7000"/>
  </r>
  <r>
    <d v="2023-09-06T20:27:42"/>
    <x v="3"/>
    <n v="3"/>
    <n v="1800"/>
    <x v="3"/>
    <s v="C0141"/>
    <n v="5400"/>
  </r>
  <r>
    <d v="2023-09-07T08:08:58"/>
    <x v="3"/>
    <n v="6"/>
    <n v="150"/>
    <x v="3"/>
    <s v="C0254"/>
    <n v="900"/>
  </r>
  <r>
    <d v="2023-09-07T19:50:14"/>
    <x v="2"/>
    <n v="5"/>
    <n v="1200"/>
    <x v="3"/>
    <s v="C0043"/>
    <n v="6000"/>
  </r>
  <r>
    <d v="2023-09-08T07:31:30"/>
    <x v="3"/>
    <n v="1"/>
    <n v="700"/>
    <x v="1"/>
    <s v="C0017"/>
    <n v="700"/>
  </r>
  <r>
    <d v="2023-09-08T19:12:46"/>
    <x v="5"/>
    <n v="3"/>
    <n v="1200"/>
    <x v="3"/>
    <s v="C0063"/>
    <n v="3600"/>
  </r>
  <r>
    <d v="2023-09-09T06:54:02"/>
    <x v="1"/>
    <n v="3"/>
    <n v="1800"/>
    <x v="1"/>
    <s v="C0253"/>
    <n v="5400"/>
  </r>
  <r>
    <d v="2023-09-09T18:35:18"/>
    <x v="1"/>
    <n v="4"/>
    <n v="1800"/>
    <x v="3"/>
    <s v="C0465"/>
    <n v="7200"/>
  </r>
  <r>
    <d v="2023-09-10T06:16:34"/>
    <x v="0"/>
    <n v="2"/>
    <n v="1800"/>
    <x v="0"/>
    <s v="C0376"/>
    <n v="3600"/>
  </r>
  <r>
    <d v="2023-09-10T17:57:50"/>
    <x v="3"/>
    <n v="3"/>
    <n v="1200"/>
    <x v="2"/>
    <s v="C0292"/>
    <n v="3600"/>
  </r>
  <r>
    <d v="2023-09-11T05:39:06"/>
    <x v="5"/>
    <n v="3"/>
    <n v="1800"/>
    <x v="3"/>
    <s v="C0469"/>
    <n v="5400"/>
  </r>
  <r>
    <d v="2023-09-11T17:20:22"/>
    <x v="0"/>
    <n v="5"/>
    <n v="150"/>
    <x v="0"/>
    <s v="C0008"/>
    <n v="750"/>
  </r>
  <r>
    <d v="2023-09-12T05:01:38"/>
    <x v="2"/>
    <n v="5"/>
    <n v="1800"/>
    <x v="3"/>
    <s v="C0325"/>
    <n v="9000"/>
  </r>
  <r>
    <d v="2023-09-12T16:42:55"/>
    <x v="0"/>
    <n v="6"/>
    <n v="450"/>
    <x v="3"/>
    <s v="C0090"/>
    <n v="2700"/>
  </r>
  <r>
    <d v="2023-09-13T04:24:11"/>
    <x v="0"/>
    <n v="1"/>
    <n v="1200"/>
    <x v="3"/>
    <s v="C0208"/>
    <n v="1200"/>
  </r>
  <r>
    <d v="2023-09-13T16:05:27"/>
    <x v="3"/>
    <n v="4"/>
    <n v="450"/>
    <x v="0"/>
    <s v="C0292"/>
    <n v="1800"/>
  </r>
  <r>
    <d v="2023-09-14T03:46:43"/>
    <x v="2"/>
    <n v="1"/>
    <n v="1800"/>
    <x v="2"/>
    <s v="C0284"/>
    <n v="1800"/>
  </r>
  <r>
    <d v="2023-09-14T15:27:59"/>
    <x v="0"/>
    <n v="6"/>
    <n v="150"/>
    <x v="0"/>
    <s v="C0118"/>
    <n v="900"/>
  </r>
  <r>
    <d v="2023-09-15T03:09:15"/>
    <x v="5"/>
    <n v="5"/>
    <n v="700"/>
    <x v="2"/>
    <s v="C0349"/>
    <n v="3500"/>
  </r>
  <r>
    <d v="2023-09-15T14:50:31"/>
    <x v="5"/>
    <n v="2"/>
    <n v="3500"/>
    <x v="3"/>
    <s v="C0175"/>
    <n v="7000"/>
  </r>
  <r>
    <d v="2023-09-16T02:31:47"/>
    <x v="1"/>
    <n v="5"/>
    <n v="3500"/>
    <x v="1"/>
    <s v="C0076"/>
    <n v="17500"/>
  </r>
  <r>
    <d v="2023-09-16T14:13:03"/>
    <x v="2"/>
    <n v="4"/>
    <n v="1800"/>
    <x v="3"/>
    <s v="C0101"/>
    <n v="7200"/>
  </r>
  <r>
    <d v="2023-09-17T01:54:19"/>
    <x v="2"/>
    <n v="5"/>
    <n v="150"/>
    <x v="2"/>
    <s v="C0414"/>
    <n v="750"/>
  </r>
  <r>
    <d v="2023-09-17T13:35:35"/>
    <x v="1"/>
    <n v="4"/>
    <n v="1200"/>
    <x v="0"/>
    <s v="C0151"/>
    <n v="4800"/>
  </r>
  <r>
    <d v="2023-09-18T01:16:51"/>
    <x v="0"/>
    <n v="4"/>
    <n v="450"/>
    <x v="3"/>
    <s v="C0400"/>
    <n v="1800"/>
  </r>
  <r>
    <d v="2023-09-18T12:58:07"/>
    <x v="2"/>
    <n v="4"/>
    <n v="450"/>
    <x v="0"/>
    <s v="C0270"/>
    <n v="1800"/>
  </r>
  <r>
    <d v="2023-09-19T00:39:23"/>
    <x v="5"/>
    <n v="6"/>
    <n v="450"/>
    <x v="0"/>
    <s v="C0458"/>
    <n v="2700"/>
  </r>
  <r>
    <d v="2023-09-19T12:20:39"/>
    <x v="5"/>
    <n v="4"/>
    <n v="1200"/>
    <x v="0"/>
    <s v="C0071"/>
    <n v="4800"/>
  </r>
  <r>
    <d v="2023-09-20T00:01:55"/>
    <x v="3"/>
    <n v="4"/>
    <n v="3500"/>
    <x v="3"/>
    <s v="C0493"/>
    <n v="14000"/>
  </r>
  <r>
    <d v="2023-09-20T11:43:11"/>
    <x v="2"/>
    <n v="2"/>
    <n v="150"/>
    <x v="0"/>
    <s v="C0180"/>
    <n v="300"/>
  </r>
  <r>
    <d v="2023-09-20T23:24:27"/>
    <x v="0"/>
    <n v="1"/>
    <n v="1200"/>
    <x v="0"/>
    <s v="C0124"/>
    <n v="1200"/>
  </r>
  <r>
    <d v="2023-09-21T11:05:43"/>
    <x v="1"/>
    <n v="3"/>
    <n v="450"/>
    <x v="3"/>
    <s v="C0381"/>
    <n v="1350"/>
  </r>
  <r>
    <d v="2023-09-21T22:46:59"/>
    <x v="1"/>
    <n v="1"/>
    <n v="1800"/>
    <x v="0"/>
    <s v="C0293"/>
    <n v="1800"/>
  </r>
  <r>
    <d v="2023-09-22T10:28:16"/>
    <x v="0"/>
    <n v="4"/>
    <n v="700"/>
    <x v="3"/>
    <s v="C0285"/>
    <n v="2800"/>
  </r>
  <r>
    <d v="2023-09-22T22:09:32"/>
    <x v="4"/>
    <n v="2"/>
    <n v="1200"/>
    <x v="2"/>
    <s v="C0195"/>
    <n v="2400"/>
  </r>
  <r>
    <d v="2023-09-23T09:50:48"/>
    <x v="3"/>
    <n v="5"/>
    <n v="1200"/>
    <x v="2"/>
    <s v="C0399"/>
    <n v="6000"/>
  </r>
  <r>
    <d v="2023-09-23T21:32:04"/>
    <x v="1"/>
    <n v="2"/>
    <n v="150"/>
    <x v="2"/>
    <s v="C0228"/>
    <n v="300"/>
  </r>
  <r>
    <d v="2023-09-24T09:13:20"/>
    <x v="2"/>
    <n v="4"/>
    <n v="150"/>
    <x v="0"/>
    <s v="C0431"/>
    <n v="600"/>
  </r>
  <r>
    <d v="2023-09-24T20:54:36"/>
    <x v="3"/>
    <n v="2"/>
    <n v="1200"/>
    <x v="1"/>
    <s v="C0430"/>
    <n v="2400"/>
  </r>
  <r>
    <d v="2023-09-25T08:35:52"/>
    <x v="2"/>
    <n v="2"/>
    <n v="450"/>
    <x v="1"/>
    <s v="C0436"/>
    <n v="900"/>
  </r>
  <r>
    <d v="2023-09-25T20:17:08"/>
    <x v="5"/>
    <n v="4"/>
    <n v="700"/>
    <x v="0"/>
    <s v="C0275"/>
    <n v="2800"/>
  </r>
  <r>
    <d v="2023-09-26T07:58:24"/>
    <x v="3"/>
    <n v="6"/>
    <n v="150"/>
    <x v="1"/>
    <s v="C0461"/>
    <n v="900"/>
  </r>
  <r>
    <d v="2023-09-26T19:39:40"/>
    <x v="1"/>
    <n v="2"/>
    <n v="450"/>
    <x v="3"/>
    <s v="C0106"/>
    <n v="900"/>
  </r>
  <r>
    <d v="2023-09-27T07:20:56"/>
    <x v="3"/>
    <n v="3"/>
    <n v="1800"/>
    <x v="1"/>
    <s v="C0021"/>
    <n v="5400"/>
  </r>
  <r>
    <d v="2023-09-27T19:02:12"/>
    <x v="3"/>
    <n v="3"/>
    <n v="150"/>
    <x v="0"/>
    <s v="C0064"/>
    <n v="450"/>
  </r>
  <r>
    <d v="2023-09-28T06:43:28"/>
    <x v="3"/>
    <n v="2"/>
    <n v="450"/>
    <x v="0"/>
    <s v="C0165"/>
    <n v="900"/>
  </r>
  <r>
    <d v="2023-09-28T18:24:44"/>
    <x v="4"/>
    <n v="6"/>
    <n v="450"/>
    <x v="3"/>
    <s v="C0027"/>
    <n v="2700"/>
  </r>
  <r>
    <d v="2023-09-29T06:06:00"/>
    <x v="3"/>
    <n v="5"/>
    <n v="700"/>
    <x v="2"/>
    <s v="C0311"/>
    <n v="3500"/>
  </r>
  <r>
    <d v="2023-09-29T17:47:16"/>
    <x v="2"/>
    <n v="4"/>
    <n v="700"/>
    <x v="0"/>
    <s v="C0285"/>
    <n v="2800"/>
  </r>
  <r>
    <d v="2023-09-30T05:28:32"/>
    <x v="5"/>
    <n v="3"/>
    <n v="1800"/>
    <x v="3"/>
    <s v="C0148"/>
    <n v="5400"/>
  </r>
  <r>
    <d v="2023-09-30T17:09:48"/>
    <x v="0"/>
    <n v="5"/>
    <n v="450"/>
    <x v="1"/>
    <s v="C0281"/>
    <n v="2250"/>
  </r>
  <r>
    <d v="2023-10-01T04:51:04"/>
    <x v="3"/>
    <n v="2"/>
    <n v="3500"/>
    <x v="1"/>
    <s v="C0326"/>
    <n v="7000"/>
  </r>
  <r>
    <d v="2023-10-01T16:32:20"/>
    <x v="1"/>
    <n v="5"/>
    <n v="450"/>
    <x v="3"/>
    <s v="C0319"/>
    <n v="2250"/>
  </r>
  <r>
    <d v="2023-10-02T04:13:37"/>
    <x v="3"/>
    <n v="1"/>
    <n v="700"/>
    <x v="3"/>
    <s v="C0164"/>
    <n v="700"/>
  </r>
  <r>
    <d v="2023-10-02T15:54:53"/>
    <x v="1"/>
    <n v="3"/>
    <n v="3500"/>
    <x v="0"/>
    <s v="C0386"/>
    <n v="10500"/>
  </r>
  <r>
    <d v="2023-10-03T03:36:09"/>
    <x v="2"/>
    <n v="2"/>
    <n v="150"/>
    <x v="1"/>
    <s v="C0406"/>
    <n v="300"/>
  </r>
  <r>
    <d v="2023-10-03T15:17:25"/>
    <x v="1"/>
    <n v="4"/>
    <n v="150"/>
    <x v="3"/>
    <s v="C0224"/>
    <n v="600"/>
  </r>
  <r>
    <d v="2023-10-04T02:58:41"/>
    <x v="0"/>
    <n v="6"/>
    <n v="1200"/>
    <x v="1"/>
    <s v="C0272"/>
    <n v="7200"/>
  </r>
  <r>
    <d v="2023-10-04T14:39:57"/>
    <x v="5"/>
    <n v="2"/>
    <n v="700"/>
    <x v="3"/>
    <s v="C0146"/>
    <n v="1400"/>
  </r>
  <r>
    <d v="2023-10-05T02:21:13"/>
    <x v="1"/>
    <n v="4"/>
    <n v="1200"/>
    <x v="1"/>
    <s v="C0453"/>
    <n v="4800"/>
  </r>
  <r>
    <d v="2023-10-05T14:02:29"/>
    <x v="1"/>
    <n v="6"/>
    <n v="3500"/>
    <x v="2"/>
    <s v="C0438"/>
    <n v="21000"/>
  </r>
  <r>
    <d v="2023-10-06T01:43:45"/>
    <x v="5"/>
    <n v="6"/>
    <n v="700"/>
    <x v="0"/>
    <s v="C0356"/>
    <n v="4200"/>
  </r>
  <r>
    <d v="2023-10-06T13:25:01"/>
    <x v="0"/>
    <n v="2"/>
    <n v="1800"/>
    <x v="1"/>
    <s v="C0030"/>
    <n v="3600"/>
  </r>
  <r>
    <d v="2023-10-07T01:06:17"/>
    <x v="3"/>
    <n v="5"/>
    <n v="450"/>
    <x v="2"/>
    <s v="C0045"/>
    <n v="2250"/>
  </r>
  <r>
    <d v="2023-10-07T12:47:33"/>
    <x v="1"/>
    <n v="5"/>
    <n v="1800"/>
    <x v="1"/>
    <s v="C0275"/>
    <n v="9000"/>
  </r>
  <r>
    <d v="2023-10-08T00:28:49"/>
    <x v="5"/>
    <n v="6"/>
    <n v="3500"/>
    <x v="1"/>
    <s v="C0471"/>
    <n v="21000"/>
  </r>
  <r>
    <d v="2023-10-08T12:10:05"/>
    <x v="2"/>
    <n v="5"/>
    <n v="700"/>
    <x v="2"/>
    <s v="C0034"/>
    <n v="3500"/>
  </r>
  <r>
    <d v="2023-10-08T23:51:21"/>
    <x v="5"/>
    <n v="1"/>
    <n v="3500"/>
    <x v="1"/>
    <s v="C0141"/>
    <n v="3500"/>
  </r>
  <r>
    <d v="2023-10-09T11:32:37"/>
    <x v="2"/>
    <n v="6"/>
    <n v="450"/>
    <x v="1"/>
    <s v="C0427"/>
    <n v="2700"/>
  </r>
  <r>
    <d v="2023-10-09T23:13:53"/>
    <x v="0"/>
    <n v="6"/>
    <n v="150"/>
    <x v="0"/>
    <s v="C0318"/>
    <n v="900"/>
  </r>
  <r>
    <d v="2023-10-10T10:55:09"/>
    <x v="3"/>
    <n v="4"/>
    <n v="150"/>
    <x v="2"/>
    <s v="C0374"/>
    <n v="600"/>
  </r>
  <r>
    <d v="2023-10-10T22:36:25"/>
    <x v="5"/>
    <n v="5"/>
    <n v="3500"/>
    <x v="2"/>
    <s v="C0221"/>
    <n v="17500"/>
  </r>
  <r>
    <d v="2023-10-11T10:17:42"/>
    <x v="4"/>
    <n v="6"/>
    <n v="1200"/>
    <x v="3"/>
    <s v="C0356"/>
    <n v="7200"/>
  </r>
  <r>
    <d v="2023-10-11T21:58:58"/>
    <x v="1"/>
    <n v="1"/>
    <n v="700"/>
    <x v="1"/>
    <s v="C0022"/>
    <n v="700"/>
  </r>
  <r>
    <d v="2023-10-12T09:40:14"/>
    <x v="0"/>
    <n v="4"/>
    <n v="700"/>
    <x v="0"/>
    <s v="C0180"/>
    <n v="2800"/>
  </r>
  <r>
    <d v="2023-10-12T21:21:30"/>
    <x v="5"/>
    <n v="2"/>
    <n v="150"/>
    <x v="1"/>
    <s v="C0436"/>
    <n v="300"/>
  </r>
  <r>
    <d v="2023-10-13T09:02:46"/>
    <x v="1"/>
    <n v="6"/>
    <n v="1800"/>
    <x v="1"/>
    <s v="C0367"/>
    <n v="10800"/>
  </r>
  <r>
    <d v="2023-10-13T20:44:02"/>
    <x v="5"/>
    <n v="1"/>
    <n v="450"/>
    <x v="3"/>
    <s v="C0420"/>
    <n v="450"/>
  </r>
  <r>
    <d v="2023-10-14T08:25:18"/>
    <x v="2"/>
    <n v="3"/>
    <n v="1800"/>
    <x v="1"/>
    <s v="C0329"/>
    <n v="5400"/>
  </r>
  <r>
    <d v="2023-10-14T20:06:34"/>
    <x v="5"/>
    <n v="1"/>
    <n v="1800"/>
    <x v="0"/>
    <s v="C0231"/>
    <n v="1800"/>
  </r>
  <r>
    <d v="2023-10-15T07:47:50"/>
    <x v="4"/>
    <n v="1"/>
    <n v="3500"/>
    <x v="0"/>
    <s v="C0499"/>
    <n v="3500"/>
  </r>
  <r>
    <d v="2023-10-15T19:29:06"/>
    <x v="5"/>
    <n v="4"/>
    <n v="150"/>
    <x v="3"/>
    <s v="C0403"/>
    <n v="600"/>
  </r>
  <r>
    <d v="2023-10-16T07:10:22"/>
    <x v="5"/>
    <n v="2"/>
    <n v="150"/>
    <x v="1"/>
    <s v="C0038"/>
    <n v="300"/>
  </r>
  <r>
    <d v="2023-10-16T18:51:38"/>
    <x v="4"/>
    <n v="3"/>
    <n v="150"/>
    <x v="0"/>
    <s v="C0070"/>
    <n v="450"/>
  </r>
  <r>
    <d v="2023-10-17T06:32:54"/>
    <x v="0"/>
    <n v="5"/>
    <n v="3500"/>
    <x v="1"/>
    <s v="C0116"/>
    <n v="17500"/>
  </r>
  <r>
    <d v="2023-10-17T18:14:10"/>
    <x v="5"/>
    <n v="5"/>
    <n v="1200"/>
    <x v="1"/>
    <s v="C0239"/>
    <n v="6000"/>
  </r>
  <r>
    <d v="2023-10-18T05:55:26"/>
    <x v="4"/>
    <n v="1"/>
    <n v="1800"/>
    <x v="1"/>
    <s v="C0335"/>
    <n v="1800"/>
  </r>
  <r>
    <d v="2023-10-18T17:36:42"/>
    <x v="1"/>
    <n v="4"/>
    <n v="3500"/>
    <x v="3"/>
    <s v="C0441"/>
    <n v="14000"/>
  </r>
  <r>
    <d v="2023-10-19T05:17:58"/>
    <x v="2"/>
    <n v="4"/>
    <n v="700"/>
    <x v="1"/>
    <s v="C0148"/>
    <n v="2800"/>
  </r>
  <r>
    <d v="2023-10-19T16:59:14"/>
    <x v="2"/>
    <n v="5"/>
    <n v="450"/>
    <x v="0"/>
    <s v="C0009"/>
    <n v="2250"/>
  </r>
  <r>
    <d v="2023-10-20T04:40:30"/>
    <x v="5"/>
    <n v="3"/>
    <n v="1200"/>
    <x v="1"/>
    <s v="C0288"/>
    <n v="3600"/>
  </r>
  <r>
    <d v="2023-10-20T16:21:46"/>
    <x v="0"/>
    <n v="2"/>
    <n v="700"/>
    <x v="0"/>
    <s v="C0388"/>
    <n v="1400"/>
  </r>
  <r>
    <d v="2023-10-21T04:03:03"/>
    <x v="0"/>
    <n v="3"/>
    <n v="1800"/>
    <x v="1"/>
    <s v="C0050"/>
    <n v="5400"/>
  </r>
  <r>
    <d v="2023-10-21T15:44:19"/>
    <x v="1"/>
    <n v="6"/>
    <n v="150"/>
    <x v="0"/>
    <s v="C0338"/>
    <n v="900"/>
  </r>
  <r>
    <d v="2023-10-22T03:25:35"/>
    <x v="5"/>
    <n v="6"/>
    <n v="1800"/>
    <x v="0"/>
    <s v="C0005"/>
    <n v="10800"/>
  </r>
  <r>
    <d v="2023-10-22T15:06:51"/>
    <x v="2"/>
    <n v="2"/>
    <n v="3500"/>
    <x v="1"/>
    <s v="C0404"/>
    <n v="7000"/>
  </r>
  <r>
    <d v="2023-10-23T02:48:07"/>
    <x v="0"/>
    <n v="5"/>
    <n v="450"/>
    <x v="1"/>
    <s v="C0343"/>
    <n v="2250"/>
  </r>
  <r>
    <d v="2023-10-23T14:29:23"/>
    <x v="5"/>
    <n v="2"/>
    <n v="3500"/>
    <x v="0"/>
    <s v="C0126"/>
    <n v="7000"/>
  </r>
  <r>
    <d v="2023-10-24T02:10:39"/>
    <x v="0"/>
    <n v="4"/>
    <n v="1200"/>
    <x v="2"/>
    <s v="C0075"/>
    <n v="4800"/>
  </r>
  <r>
    <d v="2023-10-24T13:51:55"/>
    <x v="4"/>
    <n v="6"/>
    <n v="1200"/>
    <x v="3"/>
    <s v="C0165"/>
    <n v="7200"/>
  </r>
  <r>
    <d v="2023-10-25T01:33:11"/>
    <x v="0"/>
    <n v="1"/>
    <n v="450"/>
    <x v="2"/>
    <s v="C0278"/>
    <n v="450"/>
  </r>
  <r>
    <d v="2023-10-25T13:14:27"/>
    <x v="2"/>
    <n v="1"/>
    <n v="700"/>
    <x v="2"/>
    <s v="C0442"/>
    <n v="700"/>
  </r>
  <r>
    <d v="2023-10-26T00:55:43"/>
    <x v="3"/>
    <n v="5"/>
    <n v="700"/>
    <x v="1"/>
    <s v="C0324"/>
    <n v="3500"/>
  </r>
  <r>
    <d v="2023-10-26T12:36:59"/>
    <x v="1"/>
    <n v="4"/>
    <n v="1200"/>
    <x v="3"/>
    <s v="C0477"/>
    <n v="4800"/>
  </r>
  <r>
    <d v="2023-10-27T00:18:15"/>
    <x v="1"/>
    <n v="3"/>
    <n v="1200"/>
    <x v="2"/>
    <s v="C0300"/>
    <n v="3600"/>
  </r>
  <r>
    <d v="2023-10-27T11:59:31"/>
    <x v="2"/>
    <n v="4"/>
    <n v="150"/>
    <x v="1"/>
    <s v="C0290"/>
    <n v="600"/>
  </r>
  <r>
    <d v="2023-10-27T23:40:47"/>
    <x v="0"/>
    <n v="1"/>
    <n v="700"/>
    <x v="2"/>
    <s v="C0077"/>
    <n v="700"/>
  </r>
  <r>
    <d v="2023-10-28T11:22:03"/>
    <x v="5"/>
    <n v="1"/>
    <n v="450"/>
    <x v="2"/>
    <s v="C0298"/>
    <n v="450"/>
  </r>
  <r>
    <d v="2023-10-28T23:03:19"/>
    <x v="0"/>
    <n v="6"/>
    <n v="700"/>
    <x v="1"/>
    <s v="C0137"/>
    <n v="4200"/>
  </r>
  <r>
    <d v="2023-10-29T10:44:35"/>
    <x v="2"/>
    <n v="4"/>
    <n v="150"/>
    <x v="1"/>
    <s v="C0106"/>
    <n v="600"/>
  </r>
  <r>
    <d v="2023-10-29T22:25:51"/>
    <x v="1"/>
    <n v="4"/>
    <n v="3500"/>
    <x v="1"/>
    <s v="C0095"/>
    <n v="14000"/>
  </r>
  <r>
    <d v="2023-10-30T10:07:07"/>
    <x v="0"/>
    <n v="1"/>
    <n v="1200"/>
    <x v="3"/>
    <s v="C0135"/>
    <n v="1200"/>
  </r>
  <r>
    <d v="2023-10-30T21:48:24"/>
    <x v="1"/>
    <n v="3"/>
    <n v="1200"/>
    <x v="2"/>
    <s v="C0068"/>
    <n v="3600"/>
  </r>
  <r>
    <d v="2023-10-31T09:29:40"/>
    <x v="5"/>
    <n v="5"/>
    <n v="150"/>
    <x v="1"/>
    <s v="C0147"/>
    <n v="750"/>
  </r>
  <r>
    <d v="2023-10-31T21:10:56"/>
    <x v="1"/>
    <n v="5"/>
    <n v="450"/>
    <x v="0"/>
    <s v="C0490"/>
    <n v="2250"/>
  </r>
  <r>
    <d v="2023-11-01T08:52:12"/>
    <x v="1"/>
    <n v="4"/>
    <n v="1200"/>
    <x v="2"/>
    <s v="C0478"/>
    <n v="4800"/>
  </r>
  <r>
    <d v="2023-11-01T20:33:28"/>
    <x v="3"/>
    <n v="5"/>
    <n v="1800"/>
    <x v="0"/>
    <s v="C0159"/>
    <n v="9000"/>
  </r>
  <r>
    <d v="2023-11-02T08:14:44"/>
    <x v="3"/>
    <n v="1"/>
    <n v="1200"/>
    <x v="3"/>
    <s v="C0384"/>
    <n v="1200"/>
  </r>
  <r>
    <d v="2023-11-02T19:56:00"/>
    <x v="4"/>
    <n v="1"/>
    <n v="1800"/>
    <x v="1"/>
    <s v="C0163"/>
    <n v="1800"/>
  </r>
  <r>
    <d v="2023-11-03T07:37:16"/>
    <x v="3"/>
    <n v="4"/>
    <n v="150"/>
    <x v="0"/>
    <s v="C0441"/>
    <n v="600"/>
  </r>
  <r>
    <d v="2023-11-03T19:18:32"/>
    <x v="1"/>
    <n v="4"/>
    <n v="150"/>
    <x v="3"/>
    <s v="C0341"/>
    <n v="600"/>
  </r>
  <r>
    <d v="2023-11-04T06:59:48"/>
    <x v="2"/>
    <n v="6"/>
    <n v="1200"/>
    <x v="1"/>
    <s v="C0189"/>
    <n v="7200"/>
  </r>
  <r>
    <d v="2023-11-04T18:41:04"/>
    <x v="1"/>
    <n v="4"/>
    <n v="700"/>
    <x v="0"/>
    <s v="C0415"/>
    <n v="2800"/>
  </r>
  <r>
    <d v="2023-11-05T06:22:20"/>
    <x v="2"/>
    <n v="3"/>
    <n v="1800"/>
    <x v="0"/>
    <s v="C0339"/>
    <n v="5400"/>
  </r>
  <r>
    <d v="2023-11-05T18:03:36"/>
    <x v="2"/>
    <n v="5"/>
    <n v="450"/>
    <x v="3"/>
    <s v="C0095"/>
    <n v="2250"/>
  </r>
  <r>
    <d v="2023-11-06T05:44:52"/>
    <x v="3"/>
    <n v="4"/>
    <n v="1200"/>
    <x v="1"/>
    <s v="C0181"/>
    <n v="4800"/>
  </r>
  <r>
    <d v="2023-11-06T17:26:08"/>
    <x v="0"/>
    <n v="2"/>
    <n v="450"/>
    <x v="1"/>
    <s v="C0288"/>
    <n v="900"/>
  </r>
  <r>
    <d v="2023-11-07T05:07:24"/>
    <x v="5"/>
    <n v="6"/>
    <n v="1200"/>
    <x v="0"/>
    <s v="C0322"/>
    <n v="7200"/>
  </r>
  <r>
    <d v="2023-11-07T16:48:40"/>
    <x v="3"/>
    <n v="2"/>
    <n v="700"/>
    <x v="0"/>
    <s v="C0187"/>
    <n v="1400"/>
  </r>
  <r>
    <d v="2023-11-08T04:29:56"/>
    <x v="3"/>
    <n v="1"/>
    <n v="700"/>
    <x v="0"/>
    <s v="C0372"/>
    <n v="700"/>
  </r>
  <r>
    <d v="2023-11-08T16:11:12"/>
    <x v="0"/>
    <n v="5"/>
    <n v="700"/>
    <x v="1"/>
    <s v="C0138"/>
    <n v="3500"/>
  </r>
  <r>
    <d v="2023-11-09T03:52:28"/>
    <x v="5"/>
    <n v="4"/>
    <n v="3500"/>
    <x v="3"/>
    <s v="C0130"/>
    <n v="14000"/>
  </r>
  <r>
    <d v="2023-11-09T15:33:45"/>
    <x v="1"/>
    <n v="2"/>
    <n v="700"/>
    <x v="3"/>
    <s v="C0194"/>
    <n v="1400"/>
  </r>
  <r>
    <d v="2023-11-10T03:15:01"/>
    <x v="4"/>
    <n v="5"/>
    <n v="150"/>
    <x v="1"/>
    <s v="C0316"/>
    <n v="750"/>
  </r>
  <r>
    <d v="2023-11-10T14:56:17"/>
    <x v="4"/>
    <n v="1"/>
    <n v="150"/>
    <x v="2"/>
    <s v="C0472"/>
    <n v="150"/>
  </r>
  <r>
    <d v="2023-11-11T02:37:33"/>
    <x v="1"/>
    <n v="3"/>
    <n v="3500"/>
    <x v="3"/>
    <s v="C0273"/>
    <n v="10500"/>
  </r>
  <r>
    <d v="2023-11-11T14:18:49"/>
    <x v="3"/>
    <n v="6"/>
    <n v="1800"/>
    <x v="0"/>
    <s v="C0352"/>
    <n v="10800"/>
  </r>
  <r>
    <d v="2023-11-12T02:00:05"/>
    <x v="5"/>
    <n v="5"/>
    <n v="450"/>
    <x v="2"/>
    <s v="C0144"/>
    <n v="2250"/>
  </r>
  <r>
    <d v="2023-11-12T13:41:21"/>
    <x v="3"/>
    <n v="5"/>
    <n v="1200"/>
    <x v="2"/>
    <s v="C0016"/>
    <n v="6000"/>
  </r>
  <r>
    <d v="2023-11-13T01:22:37"/>
    <x v="2"/>
    <n v="3"/>
    <n v="1200"/>
    <x v="3"/>
    <s v="C0302"/>
    <n v="3600"/>
  </r>
  <r>
    <d v="2023-11-13T13:03:53"/>
    <x v="3"/>
    <n v="5"/>
    <n v="3500"/>
    <x v="2"/>
    <s v="C0423"/>
    <n v="17500"/>
  </r>
  <r>
    <d v="2023-11-14T00:45:09"/>
    <x v="3"/>
    <n v="1"/>
    <n v="150"/>
    <x v="2"/>
    <s v="C0245"/>
    <n v="150"/>
  </r>
  <r>
    <d v="2023-11-14T12:26:25"/>
    <x v="1"/>
    <n v="1"/>
    <n v="1200"/>
    <x v="3"/>
    <s v="C0415"/>
    <n v="1200"/>
  </r>
  <r>
    <d v="2023-11-15T00:07:41"/>
    <x v="1"/>
    <n v="3"/>
    <n v="150"/>
    <x v="3"/>
    <s v="C0107"/>
    <n v="450"/>
  </r>
  <r>
    <d v="2023-11-15T11:48:57"/>
    <x v="1"/>
    <n v="6"/>
    <n v="1800"/>
    <x v="2"/>
    <s v="C0088"/>
    <n v="10800"/>
  </r>
  <r>
    <d v="2023-11-15T23:30:13"/>
    <x v="4"/>
    <n v="4"/>
    <n v="450"/>
    <x v="0"/>
    <s v="C0129"/>
    <n v="1800"/>
  </r>
  <r>
    <d v="2023-11-16T11:11:29"/>
    <x v="2"/>
    <n v="2"/>
    <n v="1800"/>
    <x v="1"/>
    <s v="C0395"/>
    <n v="3600"/>
  </r>
  <r>
    <d v="2023-11-16T22:52:45"/>
    <x v="1"/>
    <n v="4"/>
    <n v="3500"/>
    <x v="2"/>
    <s v="C0375"/>
    <n v="14000"/>
  </r>
  <r>
    <d v="2023-11-17T10:34:01"/>
    <x v="5"/>
    <n v="5"/>
    <n v="700"/>
    <x v="2"/>
    <s v="C0341"/>
    <n v="3500"/>
  </r>
  <r>
    <d v="2023-11-17T22:15:17"/>
    <x v="4"/>
    <n v="2"/>
    <n v="700"/>
    <x v="0"/>
    <s v="C0004"/>
    <n v="1400"/>
  </r>
  <r>
    <d v="2023-11-18T09:56:33"/>
    <x v="0"/>
    <n v="3"/>
    <n v="700"/>
    <x v="2"/>
    <s v="C0327"/>
    <n v="2100"/>
  </r>
  <r>
    <d v="2023-11-18T21:37:50"/>
    <x v="5"/>
    <n v="3"/>
    <n v="1800"/>
    <x v="2"/>
    <s v="C0410"/>
    <n v="5400"/>
  </r>
  <r>
    <d v="2023-11-19T09:19:06"/>
    <x v="5"/>
    <n v="6"/>
    <n v="1200"/>
    <x v="1"/>
    <s v="C0367"/>
    <n v="7200"/>
  </r>
  <r>
    <d v="2023-11-19T21:00:22"/>
    <x v="1"/>
    <n v="2"/>
    <n v="450"/>
    <x v="1"/>
    <s v="C0306"/>
    <n v="900"/>
  </r>
  <r>
    <d v="2023-11-20T08:41:38"/>
    <x v="0"/>
    <n v="1"/>
    <n v="700"/>
    <x v="1"/>
    <s v="C0396"/>
    <n v="700"/>
  </r>
  <r>
    <d v="2023-11-20T20:22:54"/>
    <x v="0"/>
    <n v="2"/>
    <n v="3500"/>
    <x v="3"/>
    <s v="C0095"/>
    <n v="7000"/>
  </r>
  <r>
    <d v="2023-11-21T08:04:10"/>
    <x v="4"/>
    <n v="5"/>
    <n v="3500"/>
    <x v="3"/>
    <s v="C0209"/>
    <n v="17500"/>
  </r>
  <r>
    <d v="2023-11-21T19:45:26"/>
    <x v="0"/>
    <n v="1"/>
    <n v="700"/>
    <x v="1"/>
    <s v="C0225"/>
    <n v="700"/>
  </r>
  <r>
    <d v="2023-11-22T07:26:42"/>
    <x v="2"/>
    <n v="3"/>
    <n v="700"/>
    <x v="1"/>
    <s v="C0459"/>
    <n v="2100"/>
  </r>
  <r>
    <d v="2023-11-22T19:07:58"/>
    <x v="1"/>
    <n v="2"/>
    <n v="450"/>
    <x v="3"/>
    <s v="C0348"/>
    <n v="900"/>
  </r>
  <r>
    <d v="2023-11-23T06:49:14"/>
    <x v="0"/>
    <n v="4"/>
    <n v="700"/>
    <x v="0"/>
    <s v="C0480"/>
    <n v="2800"/>
  </r>
  <r>
    <d v="2023-11-23T18:30:30"/>
    <x v="4"/>
    <n v="6"/>
    <n v="450"/>
    <x v="2"/>
    <s v="C0321"/>
    <n v="2700"/>
  </r>
  <r>
    <d v="2023-11-24T06:11:46"/>
    <x v="2"/>
    <n v="4"/>
    <n v="3500"/>
    <x v="2"/>
    <s v="C0047"/>
    <n v="14000"/>
  </r>
  <r>
    <d v="2023-11-24T17:53:02"/>
    <x v="3"/>
    <n v="6"/>
    <n v="700"/>
    <x v="1"/>
    <s v="C0476"/>
    <n v="4200"/>
  </r>
  <r>
    <d v="2023-11-25T05:34:18"/>
    <x v="3"/>
    <n v="5"/>
    <n v="1800"/>
    <x v="0"/>
    <s v="C0181"/>
    <n v="9000"/>
  </r>
  <r>
    <d v="2023-11-25T17:15:34"/>
    <x v="2"/>
    <n v="4"/>
    <n v="1800"/>
    <x v="3"/>
    <s v="C0106"/>
    <n v="7200"/>
  </r>
  <r>
    <d v="2023-11-26T04:56:50"/>
    <x v="4"/>
    <n v="2"/>
    <n v="3500"/>
    <x v="1"/>
    <s v="C0199"/>
    <n v="7000"/>
  </r>
  <r>
    <d v="2023-11-26T16:38:06"/>
    <x v="2"/>
    <n v="2"/>
    <n v="450"/>
    <x v="0"/>
    <s v="C0386"/>
    <n v="900"/>
  </r>
  <r>
    <d v="2023-11-27T04:19:22"/>
    <x v="1"/>
    <n v="4"/>
    <n v="1800"/>
    <x v="0"/>
    <s v="C0106"/>
    <n v="7200"/>
  </r>
  <r>
    <d v="2023-11-27T16:00:38"/>
    <x v="1"/>
    <n v="2"/>
    <n v="450"/>
    <x v="0"/>
    <s v="C0280"/>
    <n v="900"/>
  </r>
  <r>
    <d v="2023-11-28T03:41:54"/>
    <x v="3"/>
    <n v="5"/>
    <n v="1800"/>
    <x v="3"/>
    <s v="C0260"/>
    <n v="9000"/>
  </r>
  <r>
    <d v="2023-11-28T15:23:11"/>
    <x v="0"/>
    <n v="1"/>
    <n v="1800"/>
    <x v="3"/>
    <s v="C0108"/>
    <n v="1800"/>
  </r>
  <r>
    <d v="2023-11-29T03:04:27"/>
    <x v="4"/>
    <n v="5"/>
    <n v="450"/>
    <x v="2"/>
    <s v="C0019"/>
    <n v="2250"/>
  </r>
  <r>
    <d v="2023-11-29T14:45:43"/>
    <x v="3"/>
    <n v="6"/>
    <n v="1200"/>
    <x v="2"/>
    <s v="C0410"/>
    <n v="7200"/>
  </r>
  <r>
    <d v="2023-11-30T02:26:59"/>
    <x v="0"/>
    <n v="5"/>
    <n v="1800"/>
    <x v="0"/>
    <s v="C0459"/>
    <n v="9000"/>
  </r>
  <r>
    <d v="2023-11-30T14:08:15"/>
    <x v="0"/>
    <n v="6"/>
    <n v="700"/>
    <x v="0"/>
    <s v="C0296"/>
    <n v="4200"/>
  </r>
  <r>
    <d v="2023-12-01T01:49:31"/>
    <x v="1"/>
    <n v="2"/>
    <n v="3500"/>
    <x v="3"/>
    <s v="C0306"/>
    <n v="7000"/>
  </r>
  <r>
    <d v="2023-12-01T13:30:47"/>
    <x v="5"/>
    <n v="1"/>
    <n v="1200"/>
    <x v="2"/>
    <s v="C0171"/>
    <n v="1200"/>
  </r>
  <r>
    <d v="2023-12-02T01:12:03"/>
    <x v="5"/>
    <n v="2"/>
    <n v="450"/>
    <x v="0"/>
    <s v="C0331"/>
    <n v="900"/>
  </r>
  <r>
    <d v="2023-12-02T12:53:19"/>
    <x v="2"/>
    <n v="3"/>
    <n v="1200"/>
    <x v="2"/>
    <s v="C0493"/>
    <n v="3600"/>
  </r>
  <r>
    <d v="2023-12-03T00:34:35"/>
    <x v="1"/>
    <n v="2"/>
    <n v="150"/>
    <x v="2"/>
    <s v="C0195"/>
    <n v="300"/>
  </r>
  <r>
    <d v="2023-12-03T12:15:51"/>
    <x v="0"/>
    <n v="6"/>
    <n v="150"/>
    <x v="0"/>
    <s v="C0012"/>
    <n v="900"/>
  </r>
  <r>
    <d v="2023-12-03T23:57:07"/>
    <x v="4"/>
    <n v="2"/>
    <n v="1800"/>
    <x v="3"/>
    <s v="C0195"/>
    <n v="3600"/>
  </r>
  <r>
    <d v="2023-12-04T11:38:23"/>
    <x v="5"/>
    <n v="2"/>
    <n v="1800"/>
    <x v="0"/>
    <s v="C0490"/>
    <n v="3600"/>
  </r>
  <r>
    <d v="2023-12-04T23:19:39"/>
    <x v="0"/>
    <n v="1"/>
    <n v="700"/>
    <x v="0"/>
    <s v="C0283"/>
    <n v="700"/>
  </r>
  <r>
    <d v="2023-12-05T11:00:55"/>
    <x v="5"/>
    <n v="2"/>
    <n v="3500"/>
    <x v="2"/>
    <s v="C0369"/>
    <n v="7000"/>
  </r>
  <r>
    <d v="2023-12-05T22:42:11"/>
    <x v="5"/>
    <n v="1"/>
    <n v="1200"/>
    <x v="0"/>
    <s v="C0182"/>
    <n v="1200"/>
  </r>
  <r>
    <d v="2023-12-06T10:23:27"/>
    <x v="5"/>
    <n v="4"/>
    <n v="150"/>
    <x v="3"/>
    <s v="C0450"/>
    <n v="600"/>
  </r>
  <r>
    <d v="2023-12-06T22:04:43"/>
    <x v="4"/>
    <n v="3"/>
    <n v="1800"/>
    <x v="0"/>
    <s v="C0305"/>
    <n v="5400"/>
  </r>
  <r>
    <d v="2023-12-07T09:45:59"/>
    <x v="1"/>
    <n v="1"/>
    <n v="3500"/>
    <x v="3"/>
    <s v="C0144"/>
    <n v="3500"/>
  </r>
  <r>
    <d v="2023-12-07T21:27:15"/>
    <x v="4"/>
    <n v="6"/>
    <n v="1200"/>
    <x v="3"/>
    <s v="C0386"/>
    <n v="7200"/>
  </r>
  <r>
    <d v="2023-12-08T09:08:32"/>
    <x v="3"/>
    <n v="4"/>
    <n v="1800"/>
    <x v="2"/>
    <s v="C0316"/>
    <n v="7200"/>
  </r>
  <r>
    <d v="2023-12-08T20:49:48"/>
    <x v="0"/>
    <n v="1"/>
    <n v="1800"/>
    <x v="1"/>
    <s v="C0182"/>
    <n v="1800"/>
  </r>
  <r>
    <d v="2023-12-09T08:31:04"/>
    <x v="1"/>
    <n v="1"/>
    <n v="150"/>
    <x v="1"/>
    <s v="C0030"/>
    <n v="150"/>
  </r>
  <r>
    <d v="2023-12-09T20:12:20"/>
    <x v="1"/>
    <n v="3"/>
    <n v="150"/>
    <x v="2"/>
    <s v="C0084"/>
    <n v="450"/>
  </r>
  <r>
    <d v="2023-12-10T07:53:36"/>
    <x v="1"/>
    <n v="6"/>
    <n v="1800"/>
    <x v="0"/>
    <s v="C0166"/>
    <n v="10800"/>
  </r>
  <r>
    <d v="2023-12-10T19:34:52"/>
    <x v="1"/>
    <n v="5"/>
    <n v="450"/>
    <x v="2"/>
    <s v="C0284"/>
    <n v="2250"/>
  </r>
  <r>
    <d v="2023-12-11T07:16:08"/>
    <x v="4"/>
    <n v="5"/>
    <n v="1800"/>
    <x v="3"/>
    <s v="C0281"/>
    <n v="9000"/>
  </r>
  <r>
    <d v="2023-12-11T18:57:24"/>
    <x v="1"/>
    <n v="1"/>
    <n v="3500"/>
    <x v="1"/>
    <s v="C0096"/>
    <n v="3500"/>
  </r>
  <r>
    <d v="2023-12-12T06:38:40"/>
    <x v="2"/>
    <n v="2"/>
    <n v="1800"/>
    <x v="2"/>
    <s v="C0381"/>
    <n v="3600"/>
  </r>
  <r>
    <d v="2023-12-12T18:19:56"/>
    <x v="0"/>
    <n v="6"/>
    <n v="700"/>
    <x v="0"/>
    <s v="C0266"/>
    <n v="4200"/>
  </r>
  <r>
    <d v="2023-12-13T06:01:12"/>
    <x v="1"/>
    <n v="4"/>
    <n v="700"/>
    <x v="2"/>
    <s v="C0444"/>
    <n v="2800"/>
  </r>
  <r>
    <d v="2023-12-13T17:42:28"/>
    <x v="0"/>
    <n v="2"/>
    <n v="700"/>
    <x v="1"/>
    <s v="C0298"/>
    <n v="1400"/>
  </r>
  <r>
    <d v="2023-12-14T05:23:44"/>
    <x v="2"/>
    <n v="2"/>
    <n v="450"/>
    <x v="2"/>
    <s v="C0296"/>
    <n v="900"/>
  </r>
  <r>
    <d v="2023-12-14T17:05:00"/>
    <x v="2"/>
    <n v="6"/>
    <n v="450"/>
    <x v="2"/>
    <s v="C0225"/>
    <n v="2700"/>
  </r>
  <r>
    <d v="2023-12-15T04:46:16"/>
    <x v="0"/>
    <n v="1"/>
    <n v="1800"/>
    <x v="1"/>
    <s v="C0333"/>
    <n v="1800"/>
  </r>
  <r>
    <d v="2023-12-15T16:27:32"/>
    <x v="5"/>
    <n v="1"/>
    <n v="700"/>
    <x v="3"/>
    <s v="C0361"/>
    <n v="700"/>
  </r>
  <r>
    <d v="2023-12-16T04:08:48"/>
    <x v="3"/>
    <n v="1"/>
    <n v="450"/>
    <x v="3"/>
    <s v="C0374"/>
    <n v="450"/>
  </r>
  <r>
    <d v="2023-12-16T15:50:04"/>
    <x v="5"/>
    <n v="1"/>
    <n v="150"/>
    <x v="1"/>
    <s v="C0042"/>
    <n v="150"/>
  </r>
  <r>
    <d v="2023-12-17T03:31:20"/>
    <x v="5"/>
    <n v="5"/>
    <n v="1800"/>
    <x v="2"/>
    <s v="C0303"/>
    <n v="9000"/>
  </r>
  <r>
    <d v="2023-12-17T15:12:37"/>
    <x v="4"/>
    <n v="1"/>
    <n v="3500"/>
    <x v="1"/>
    <s v="C0421"/>
    <n v="3500"/>
  </r>
  <r>
    <d v="2023-12-18T02:53:53"/>
    <x v="5"/>
    <n v="5"/>
    <n v="1200"/>
    <x v="3"/>
    <s v="C0246"/>
    <n v="6000"/>
  </r>
  <r>
    <d v="2023-12-18T14:35:09"/>
    <x v="1"/>
    <n v="5"/>
    <n v="1800"/>
    <x v="0"/>
    <s v="C0208"/>
    <n v="9000"/>
  </r>
  <r>
    <d v="2023-12-19T02:16:25"/>
    <x v="4"/>
    <n v="1"/>
    <n v="1200"/>
    <x v="2"/>
    <s v="C0237"/>
    <n v="1200"/>
  </r>
  <r>
    <d v="2023-12-19T13:57:41"/>
    <x v="4"/>
    <n v="3"/>
    <n v="700"/>
    <x v="3"/>
    <s v="C0022"/>
    <n v="2100"/>
  </r>
  <r>
    <d v="2023-12-20T01:38:57"/>
    <x v="2"/>
    <n v="4"/>
    <n v="1200"/>
    <x v="2"/>
    <s v="C0185"/>
    <n v="4800"/>
  </r>
  <r>
    <d v="2023-12-20T13:20:13"/>
    <x v="5"/>
    <n v="2"/>
    <n v="700"/>
    <x v="1"/>
    <s v="C0468"/>
    <n v="1400"/>
  </r>
  <r>
    <d v="2023-12-21T01:01:29"/>
    <x v="2"/>
    <n v="5"/>
    <n v="150"/>
    <x v="0"/>
    <s v="C0242"/>
    <n v="750"/>
  </r>
  <r>
    <d v="2023-12-21T12:42:45"/>
    <x v="0"/>
    <n v="6"/>
    <n v="1200"/>
    <x v="1"/>
    <s v="C0363"/>
    <n v="7200"/>
  </r>
  <r>
    <d v="2023-12-22T00:24:01"/>
    <x v="3"/>
    <n v="6"/>
    <n v="1800"/>
    <x v="0"/>
    <s v="C0283"/>
    <n v="10800"/>
  </r>
  <r>
    <d v="2023-12-22T12:05:17"/>
    <x v="4"/>
    <n v="4"/>
    <n v="700"/>
    <x v="2"/>
    <s v="C0041"/>
    <n v="2800"/>
  </r>
  <r>
    <d v="2023-12-22T23:46:33"/>
    <x v="0"/>
    <n v="6"/>
    <n v="1800"/>
    <x v="2"/>
    <s v="C0336"/>
    <n v="10800"/>
  </r>
  <r>
    <d v="2023-12-23T11:27:49"/>
    <x v="0"/>
    <n v="3"/>
    <n v="450"/>
    <x v="1"/>
    <s v="C0162"/>
    <n v="1350"/>
  </r>
  <r>
    <d v="2023-12-23T23:09:05"/>
    <x v="1"/>
    <n v="6"/>
    <n v="700"/>
    <x v="0"/>
    <s v="C0160"/>
    <n v="4200"/>
  </r>
  <r>
    <d v="2023-12-24T10:50:21"/>
    <x v="3"/>
    <n v="2"/>
    <n v="1200"/>
    <x v="0"/>
    <s v="C0474"/>
    <n v="2400"/>
  </r>
  <r>
    <d v="2023-12-24T22:31:37"/>
    <x v="0"/>
    <n v="2"/>
    <n v="700"/>
    <x v="2"/>
    <s v="C0089"/>
    <n v="1400"/>
  </r>
  <r>
    <d v="2023-12-25T10:12:53"/>
    <x v="0"/>
    <n v="5"/>
    <n v="1800"/>
    <x v="1"/>
    <s v="C0322"/>
    <n v="9000"/>
  </r>
  <r>
    <d v="2023-12-25T21:54:09"/>
    <x v="3"/>
    <n v="1"/>
    <n v="150"/>
    <x v="0"/>
    <s v="C0012"/>
    <n v="150"/>
  </r>
  <r>
    <d v="2023-12-26T09:35:25"/>
    <x v="3"/>
    <n v="3"/>
    <n v="700"/>
    <x v="2"/>
    <s v="C0424"/>
    <n v="2100"/>
  </r>
  <r>
    <d v="2023-12-26T21:16:41"/>
    <x v="0"/>
    <n v="5"/>
    <n v="1200"/>
    <x v="3"/>
    <s v="C0073"/>
    <n v="6000"/>
  </r>
  <r>
    <d v="2023-12-27T08:57:58"/>
    <x v="3"/>
    <n v="3"/>
    <n v="450"/>
    <x v="1"/>
    <s v="C0076"/>
    <n v="1350"/>
  </r>
  <r>
    <d v="2023-12-27T20:39:14"/>
    <x v="0"/>
    <n v="1"/>
    <n v="3500"/>
    <x v="3"/>
    <s v="C0346"/>
    <n v="3500"/>
  </r>
  <r>
    <d v="2023-12-28T08:20:30"/>
    <x v="0"/>
    <n v="6"/>
    <n v="150"/>
    <x v="1"/>
    <s v="C0201"/>
    <n v="900"/>
  </r>
  <r>
    <d v="2023-12-28T20:01:46"/>
    <x v="1"/>
    <n v="6"/>
    <n v="450"/>
    <x v="2"/>
    <s v="C0010"/>
    <n v="2700"/>
  </r>
  <r>
    <d v="2023-12-29T07:43:02"/>
    <x v="5"/>
    <n v="1"/>
    <n v="700"/>
    <x v="0"/>
    <s v="C0352"/>
    <n v="700"/>
  </r>
  <r>
    <d v="2023-12-29T19:24:18"/>
    <x v="0"/>
    <n v="5"/>
    <n v="1800"/>
    <x v="0"/>
    <s v="C0226"/>
    <n v="9000"/>
  </r>
  <r>
    <d v="2023-12-30T07:05:34"/>
    <x v="2"/>
    <n v="1"/>
    <n v="1800"/>
    <x v="0"/>
    <s v="C0176"/>
    <n v="1800"/>
  </r>
  <r>
    <d v="2023-12-30T18:46:50"/>
    <x v="4"/>
    <n v="4"/>
    <n v="1200"/>
    <x v="1"/>
    <s v="C0276"/>
    <n v="4800"/>
  </r>
  <r>
    <d v="2023-12-31T06:28:06"/>
    <x v="5"/>
    <n v="2"/>
    <n v="1800"/>
    <x v="2"/>
    <s v="C0039"/>
    <n v="3600"/>
  </r>
  <r>
    <d v="2023-12-31T18:09:22"/>
    <x v="5"/>
    <n v="5"/>
    <n v="150"/>
    <x v="3"/>
    <s v="C0060"/>
    <n v="750"/>
  </r>
  <r>
    <d v="2024-01-01T05:50:38"/>
    <x v="5"/>
    <n v="3"/>
    <n v="1800"/>
    <x v="2"/>
    <s v="C0066"/>
    <n v="5400"/>
  </r>
  <r>
    <d v="2024-01-01T17:31:54"/>
    <x v="1"/>
    <n v="4"/>
    <n v="1200"/>
    <x v="3"/>
    <s v="C0321"/>
    <n v="4800"/>
  </r>
  <r>
    <d v="2024-01-02T05:13:10"/>
    <x v="0"/>
    <n v="5"/>
    <n v="3500"/>
    <x v="1"/>
    <s v="C0435"/>
    <n v="17500"/>
  </r>
  <r>
    <d v="2024-01-02T16:54:26"/>
    <x v="1"/>
    <n v="1"/>
    <n v="700"/>
    <x v="1"/>
    <s v="C0124"/>
    <n v="700"/>
  </r>
  <r>
    <d v="2024-01-03T04:35:42"/>
    <x v="0"/>
    <n v="1"/>
    <n v="700"/>
    <x v="3"/>
    <s v="C0164"/>
    <n v="700"/>
  </r>
  <r>
    <d v="2024-01-03T16:16:58"/>
    <x v="1"/>
    <n v="1"/>
    <n v="1800"/>
    <x v="3"/>
    <s v="C0408"/>
    <n v="1800"/>
  </r>
  <r>
    <d v="2024-01-04T03:58:14"/>
    <x v="1"/>
    <n v="1"/>
    <n v="450"/>
    <x v="3"/>
    <s v="C0411"/>
    <n v="450"/>
  </r>
  <r>
    <d v="2024-01-04T15:39:30"/>
    <x v="4"/>
    <n v="3"/>
    <n v="700"/>
    <x v="2"/>
    <s v="C0386"/>
    <n v="2100"/>
  </r>
  <r>
    <d v="2024-01-05T03:20:46"/>
    <x v="2"/>
    <n v="4"/>
    <n v="3500"/>
    <x v="3"/>
    <s v="C0159"/>
    <n v="14000"/>
  </r>
  <r>
    <d v="2024-01-05T15:02:02"/>
    <x v="1"/>
    <n v="6"/>
    <n v="1800"/>
    <x v="1"/>
    <s v="C0057"/>
    <n v="10800"/>
  </r>
  <r>
    <d v="2024-01-06T02:43:19"/>
    <x v="4"/>
    <n v="2"/>
    <n v="1200"/>
    <x v="1"/>
    <s v="C0078"/>
    <n v="2400"/>
  </r>
  <r>
    <d v="2024-01-06T14:24:35"/>
    <x v="3"/>
    <n v="3"/>
    <n v="3500"/>
    <x v="0"/>
    <s v="C0194"/>
    <n v="10500"/>
  </r>
  <r>
    <d v="2024-01-07T02:05:51"/>
    <x v="2"/>
    <n v="3"/>
    <n v="1800"/>
    <x v="3"/>
    <s v="C0285"/>
    <n v="5400"/>
  </r>
  <r>
    <d v="2024-01-07T13:47:07"/>
    <x v="1"/>
    <n v="6"/>
    <n v="3500"/>
    <x v="2"/>
    <s v="C0015"/>
    <n v="21000"/>
  </r>
  <r>
    <d v="2024-01-08T01:28:23"/>
    <x v="5"/>
    <n v="6"/>
    <n v="700"/>
    <x v="2"/>
    <s v="C0012"/>
    <n v="4200"/>
  </r>
  <r>
    <d v="2024-01-08T13:09:39"/>
    <x v="3"/>
    <n v="2"/>
    <n v="1200"/>
    <x v="2"/>
    <s v="C0101"/>
    <n v="2400"/>
  </r>
  <r>
    <d v="2024-01-09T00:50:55"/>
    <x v="3"/>
    <n v="2"/>
    <n v="1800"/>
    <x v="0"/>
    <s v="C0156"/>
    <n v="3600"/>
  </r>
  <r>
    <d v="2024-01-09T12:32:11"/>
    <x v="4"/>
    <n v="6"/>
    <n v="150"/>
    <x v="1"/>
    <s v="C0340"/>
    <n v="900"/>
  </r>
  <r>
    <d v="2024-01-10T00:13:27"/>
    <x v="3"/>
    <n v="1"/>
    <n v="1200"/>
    <x v="2"/>
    <s v="C0125"/>
    <n v="1200"/>
  </r>
  <r>
    <d v="2024-01-10T11:54:43"/>
    <x v="2"/>
    <n v="3"/>
    <n v="150"/>
    <x v="1"/>
    <s v="C0359"/>
    <n v="450"/>
  </r>
  <r>
    <d v="2024-01-10T23:35:59"/>
    <x v="1"/>
    <n v="5"/>
    <n v="3500"/>
    <x v="0"/>
    <s v="C0280"/>
    <n v="17500"/>
  </r>
  <r>
    <d v="2024-01-11T11:17:15"/>
    <x v="1"/>
    <n v="2"/>
    <n v="450"/>
    <x v="3"/>
    <s v="C0405"/>
    <n v="900"/>
  </r>
  <r>
    <d v="2024-01-11T22:58:31"/>
    <x v="5"/>
    <n v="2"/>
    <n v="1200"/>
    <x v="3"/>
    <s v="C0394"/>
    <n v="2400"/>
  </r>
  <r>
    <d v="2024-01-12T10:39:47"/>
    <x v="4"/>
    <n v="6"/>
    <n v="3500"/>
    <x v="3"/>
    <s v="C0110"/>
    <n v="21000"/>
  </r>
  <r>
    <d v="2024-01-12T22:21:03"/>
    <x v="5"/>
    <n v="4"/>
    <n v="150"/>
    <x v="2"/>
    <s v="C0334"/>
    <n v="600"/>
  </r>
  <r>
    <d v="2024-01-13T10:02:19"/>
    <x v="3"/>
    <n v="5"/>
    <n v="700"/>
    <x v="3"/>
    <s v="C0357"/>
    <n v="3500"/>
  </r>
  <r>
    <d v="2024-01-13T21:43:35"/>
    <x v="5"/>
    <n v="5"/>
    <n v="700"/>
    <x v="2"/>
    <s v="C0146"/>
    <n v="3500"/>
  </r>
  <r>
    <d v="2024-01-14T09:24:51"/>
    <x v="2"/>
    <n v="2"/>
    <n v="450"/>
    <x v="0"/>
    <s v="C0216"/>
    <n v="900"/>
  </r>
  <r>
    <d v="2024-01-14T21:06:07"/>
    <x v="1"/>
    <n v="1"/>
    <n v="1200"/>
    <x v="0"/>
    <s v="C0398"/>
    <n v="1200"/>
  </r>
  <r>
    <d v="2024-01-15T08:47:23"/>
    <x v="3"/>
    <n v="4"/>
    <n v="1200"/>
    <x v="2"/>
    <s v="C0162"/>
    <n v="4800"/>
  </r>
  <r>
    <d v="2024-01-15T20:28:40"/>
    <x v="5"/>
    <n v="5"/>
    <n v="1200"/>
    <x v="1"/>
    <s v="C0128"/>
    <n v="6000"/>
  </r>
  <r>
    <d v="2024-01-16T08:09:56"/>
    <x v="4"/>
    <n v="2"/>
    <n v="3500"/>
    <x v="3"/>
    <s v="C0314"/>
    <n v="7000"/>
  </r>
  <r>
    <d v="2024-01-16T19:51:12"/>
    <x v="2"/>
    <n v="5"/>
    <n v="450"/>
    <x v="3"/>
    <s v="C0332"/>
    <n v="2250"/>
  </r>
  <r>
    <d v="2024-01-17T07:32:28"/>
    <x v="2"/>
    <n v="4"/>
    <n v="1200"/>
    <x v="3"/>
    <s v="C0150"/>
    <n v="4800"/>
  </r>
  <r>
    <d v="2024-01-17T19:13:44"/>
    <x v="5"/>
    <n v="4"/>
    <n v="3500"/>
    <x v="2"/>
    <s v="C0454"/>
    <n v="14000"/>
  </r>
  <r>
    <d v="2024-01-18T06:55:00"/>
    <x v="1"/>
    <n v="3"/>
    <n v="700"/>
    <x v="0"/>
    <s v="C0036"/>
    <n v="2100"/>
  </r>
  <r>
    <d v="2024-01-18T18:36:16"/>
    <x v="5"/>
    <n v="6"/>
    <n v="150"/>
    <x v="3"/>
    <s v="C0173"/>
    <n v="900"/>
  </r>
  <r>
    <d v="2024-01-19T06:17:32"/>
    <x v="3"/>
    <n v="6"/>
    <n v="3500"/>
    <x v="0"/>
    <s v="C0420"/>
    <n v="21000"/>
  </r>
  <r>
    <d v="2024-01-19T17:58:48"/>
    <x v="5"/>
    <n v="2"/>
    <n v="700"/>
    <x v="3"/>
    <s v="C0022"/>
    <n v="1400"/>
  </r>
  <r>
    <d v="2024-01-20T05:40:04"/>
    <x v="2"/>
    <n v="4"/>
    <n v="700"/>
    <x v="3"/>
    <s v="C0206"/>
    <n v="2800"/>
  </r>
  <r>
    <d v="2024-01-20T17:21:20"/>
    <x v="5"/>
    <n v="3"/>
    <n v="150"/>
    <x v="2"/>
    <s v="C0127"/>
    <n v="450"/>
  </r>
  <r>
    <d v="2024-01-21T05:02:36"/>
    <x v="1"/>
    <n v="3"/>
    <n v="700"/>
    <x v="1"/>
    <s v="C0336"/>
    <n v="2100"/>
  </r>
  <r>
    <d v="2024-01-21T16:43:52"/>
    <x v="4"/>
    <n v="5"/>
    <n v="450"/>
    <x v="2"/>
    <s v="C0445"/>
    <n v="2250"/>
  </r>
  <r>
    <d v="2024-01-22T04:25:08"/>
    <x v="0"/>
    <n v="5"/>
    <n v="150"/>
    <x v="3"/>
    <s v="C0356"/>
    <n v="750"/>
  </r>
  <r>
    <d v="2024-01-22T16:06:24"/>
    <x v="5"/>
    <n v="3"/>
    <n v="700"/>
    <x v="3"/>
    <s v="C0440"/>
    <n v="2100"/>
  </r>
  <r>
    <d v="2024-01-23T03:47:40"/>
    <x v="1"/>
    <n v="5"/>
    <n v="1800"/>
    <x v="1"/>
    <s v="C0217"/>
    <n v="9000"/>
  </r>
  <r>
    <d v="2024-01-23T15:28:56"/>
    <x v="1"/>
    <n v="4"/>
    <n v="3500"/>
    <x v="0"/>
    <s v="C0096"/>
    <n v="14000"/>
  </r>
  <r>
    <d v="2024-01-24T03:10:12"/>
    <x v="4"/>
    <n v="1"/>
    <n v="700"/>
    <x v="0"/>
    <s v="C0417"/>
    <n v="700"/>
  </r>
  <r>
    <d v="2024-01-24T14:51:28"/>
    <x v="2"/>
    <n v="4"/>
    <n v="450"/>
    <x v="3"/>
    <s v="C0429"/>
    <n v="1800"/>
  </r>
  <r>
    <d v="2024-01-25T02:32:45"/>
    <x v="1"/>
    <n v="3"/>
    <n v="1200"/>
    <x v="0"/>
    <s v="C0164"/>
    <n v="3600"/>
  </r>
  <r>
    <d v="2024-01-25T14:14:01"/>
    <x v="1"/>
    <n v="3"/>
    <n v="700"/>
    <x v="3"/>
    <s v="C0148"/>
    <n v="2100"/>
  </r>
  <r>
    <d v="2024-01-26T01:55:17"/>
    <x v="1"/>
    <n v="4"/>
    <n v="1200"/>
    <x v="1"/>
    <s v="C0018"/>
    <n v="4800"/>
  </r>
  <r>
    <d v="2024-01-26T13:36:33"/>
    <x v="1"/>
    <n v="5"/>
    <n v="1800"/>
    <x v="1"/>
    <s v="C0294"/>
    <n v="9000"/>
  </r>
  <r>
    <d v="2024-01-27T01:17:49"/>
    <x v="3"/>
    <n v="5"/>
    <n v="700"/>
    <x v="3"/>
    <s v="C0195"/>
    <n v="3500"/>
  </r>
  <r>
    <d v="2024-01-27T12:59:05"/>
    <x v="3"/>
    <n v="6"/>
    <n v="150"/>
    <x v="1"/>
    <s v="C0151"/>
    <n v="900"/>
  </r>
  <r>
    <d v="2024-01-28T00:40:21"/>
    <x v="2"/>
    <n v="3"/>
    <n v="1200"/>
    <x v="2"/>
    <s v="C0480"/>
    <n v="3600"/>
  </r>
  <r>
    <d v="2024-01-28T12:21:37"/>
    <x v="5"/>
    <n v="2"/>
    <n v="1800"/>
    <x v="2"/>
    <s v="C0365"/>
    <n v="3600"/>
  </r>
  <r>
    <d v="2024-01-29T00:02:53"/>
    <x v="1"/>
    <n v="6"/>
    <n v="150"/>
    <x v="1"/>
    <s v="C0123"/>
    <n v="900"/>
  </r>
  <r>
    <d v="2024-01-29T11:44:09"/>
    <x v="4"/>
    <n v="5"/>
    <n v="150"/>
    <x v="3"/>
    <s v="C0400"/>
    <n v="750"/>
  </r>
  <r>
    <d v="2024-01-29T23:25:25"/>
    <x v="5"/>
    <n v="4"/>
    <n v="150"/>
    <x v="3"/>
    <s v="C0187"/>
    <n v="600"/>
  </r>
  <r>
    <d v="2024-01-30T11:06:41"/>
    <x v="4"/>
    <n v="5"/>
    <n v="150"/>
    <x v="1"/>
    <s v="C0453"/>
    <n v="750"/>
  </r>
  <r>
    <d v="2024-01-30T22:47:57"/>
    <x v="5"/>
    <n v="4"/>
    <n v="700"/>
    <x v="0"/>
    <s v="C0452"/>
    <n v="2800"/>
  </r>
  <r>
    <d v="2024-01-31T10:29:13"/>
    <x v="2"/>
    <n v="6"/>
    <n v="3500"/>
    <x v="2"/>
    <s v="C0149"/>
    <n v="21000"/>
  </r>
  <r>
    <d v="2024-01-31T22:10:29"/>
    <x v="1"/>
    <n v="3"/>
    <n v="700"/>
    <x v="0"/>
    <s v="C0104"/>
    <n v="2100"/>
  </r>
  <r>
    <d v="2024-02-01T09:51:45"/>
    <x v="1"/>
    <n v="5"/>
    <n v="700"/>
    <x v="3"/>
    <s v="C0243"/>
    <n v="3500"/>
  </r>
  <r>
    <d v="2024-02-01T21:33:01"/>
    <x v="0"/>
    <n v="4"/>
    <n v="1800"/>
    <x v="3"/>
    <s v="C0462"/>
    <n v="7200"/>
  </r>
  <r>
    <d v="2024-02-02T09:14:17"/>
    <x v="4"/>
    <n v="3"/>
    <n v="1800"/>
    <x v="0"/>
    <s v="C0231"/>
    <n v="5400"/>
  </r>
  <r>
    <d v="2024-02-02T20:55:33"/>
    <x v="5"/>
    <n v="2"/>
    <n v="3500"/>
    <x v="1"/>
    <s v="C0479"/>
    <n v="7000"/>
  </r>
  <r>
    <d v="2024-02-03T08:36:49"/>
    <x v="5"/>
    <n v="4"/>
    <n v="1800"/>
    <x v="0"/>
    <s v="C0206"/>
    <n v="7200"/>
  </r>
  <r>
    <d v="2024-02-03T20:18:06"/>
    <x v="3"/>
    <n v="6"/>
    <n v="450"/>
    <x v="0"/>
    <s v="C0198"/>
    <n v="2700"/>
  </r>
  <r>
    <d v="2024-02-04T07:59:22"/>
    <x v="0"/>
    <n v="2"/>
    <n v="3500"/>
    <x v="2"/>
    <s v="C0396"/>
    <n v="7000"/>
  </r>
  <r>
    <d v="2024-02-04T19:40:38"/>
    <x v="3"/>
    <n v="2"/>
    <n v="1800"/>
    <x v="2"/>
    <s v="C0400"/>
    <n v="3600"/>
  </r>
  <r>
    <d v="2024-02-05T07:21:54"/>
    <x v="3"/>
    <n v="1"/>
    <n v="3500"/>
    <x v="0"/>
    <s v="C0337"/>
    <n v="3500"/>
  </r>
  <r>
    <d v="2024-02-05T19:03:10"/>
    <x v="3"/>
    <n v="5"/>
    <n v="700"/>
    <x v="0"/>
    <s v="C0493"/>
    <n v="3500"/>
  </r>
  <r>
    <d v="2024-02-06T06:44:26"/>
    <x v="4"/>
    <n v="4"/>
    <n v="700"/>
    <x v="3"/>
    <s v="C0087"/>
    <n v="2800"/>
  </r>
  <r>
    <d v="2024-02-06T18:25:42"/>
    <x v="4"/>
    <n v="2"/>
    <n v="3500"/>
    <x v="2"/>
    <s v="C0142"/>
    <n v="7000"/>
  </r>
  <r>
    <d v="2024-02-07T06:06:58"/>
    <x v="2"/>
    <n v="1"/>
    <n v="450"/>
    <x v="2"/>
    <s v="C0317"/>
    <n v="450"/>
  </r>
  <r>
    <d v="2024-02-07T17:48:14"/>
    <x v="2"/>
    <n v="6"/>
    <n v="450"/>
    <x v="3"/>
    <s v="C0199"/>
    <n v="2700"/>
  </r>
  <r>
    <d v="2024-02-08T05:29:30"/>
    <x v="3"/>
    <n v="3"/>
    <n v="3500"/>
    <x v="1"/>
    <s v="C0046"/>
    <n v="10500"/>
  </r>
  <r>
    <d v="2024-02-08T17:10:46"/>
    <x v="0"/>
    <n v="4"/>
    <n v="1800"/>
    <x v="2"/>
    <s v="C0288"/>
    <n v="7200"/>
  </r>
  <r>
    <d v="2024-02-09T04:52:02"/>
    <x v="5"/>
    <n v="2"/>
    <n v="1200"/>
    <x v="2"/>
    <s v="C0015"/>
    <n v="2400"/>
  </r>
  <r>
    <d v="2024-02-09T16:33:18"/>
    <x v="4"/>
    <n v="5"/>
    <n v="450"/>
    <x v="1"/>
    <s v="C0044"/>
    <n v="2250"/>
  </r>
  <r>
    <d v="2024-02-10T04:14:34"/>
    <x v="0"/>
    <n v="1"/>
    <n v="150"/>
    <x v="2"/>
    <s v="C0401"/>
    <n v="150"/>
  </r>
  <r>
    <d v="2024-02-10T15:55:50"/>
    <x v="1"/>
    <n v="2"/>
    <n v="700"/>
    <x v="2"/>
    <s v="C0169"/>
    <n v="1400"/>
  </r>
  <r>
    <d v="2024-02-11T03:37:06"/>
    <x v="4"/>
    <n v="5"/>
    <n v="3500"/>
    <x v="1"/>
    <s v="C0310"/>
    <n v="17500"/>
  </r>
  <r>
    <d v="2024-02-11T15:18:22"/>
    <x v="4"/>
    <n v="2"/>
    <n v="150"/>
    <x v="1"/>
    <s v="C0495"/>
    <n v="300"/>
  </r>
  <r>
    <d v="2024-02-12T02:59:38"/>
    <x v="2"/>
    <n v="4"/>
    <n v="3500"/>
    <x v="0"/>
    <s v="C0044"/>
    <n v="14000"/>
  </r>
  <r>
    <d v="2024-02-12T14:40:54"/>
    <x v="5"/>
    <n v="4"/>
    <n v="700"/>
    <x v="3"/>
    <s v="C0098"/>
    <n v="2800"/>
  </r>
  <r>
    <d v="2024-02-13T02:22:10"/>
    <x v="5"/>
    <n v="4"/>
    <n v="700"/>
    <x v="3"/>
    <s v="C0261"/>
    <n v="2800"/>
  </r>
  <r>
    <d v="2024-02-13T14:03:27"/>
    <x v="1"/>
    <n v="6"/>
    <n v="450"/>
    <x v="1"/>
    <s v="C0109"/>
    <n v="2700"/>
  </r>
  <r>
    <d v="2024-02-14T01:44:43"/>
    <x v="1"/>
    <n v="6"/>
    <n v="450"/>
    <x v="1"/>
    <s v="C0283"/>
    <n v="2700"/>
  </r>
  <r>
    <d v="2024-02-14T13:25:59"/>
    <x v="4"/>
    <n v="1"/>
    <n v="150"/>
    <x v="2"/>
    <s v="C0372"/>
    <n v="150"/>
  </r>
  <r>
    <d v="2024-02-15T01:07:15"/>
    <x v="3"/>
    <n v="4"/>
    <n v="3500"/>
    <x v="0"/>
    <s v="C0343"/>
    <n v="14000"/>
  </r>
  <r>
    <d v="2024-02-15T12:48:31"/>
    <x v="2"/>
    <n v="5"/>
    <n v="700"/>
    <x v="0"/>
    <s v="C0104"/>
    <n v="3500"/>
  </r>
  <r>
    <d v="2024-02-16T00:29:47"/>
    <x v="2"/>
    <n v="2"/>
    <n v="150"/>
    <x v="1"/>
    <s v="C0256"/>
    <n v="300"/>
  </r>
  <r>
    <d v="2024-02-16T12:11:03"/>
    <x v="4"/>
    <n v="3"/>
    <n v="1200"/>
    <x v="2"/>
    <s v="C0379"/>
    <n v="3600"/>
  </r>
  <r>
    <d v="2024-02-16T23:52:19"/>
    <x v="0"/>
    <n v="5"/>
    <n v="150"/>
    <x v="2"/>
    <s v="C0206"/>
    <n v="750"/>
  </r>
  <r>
    <d v="2024-02-17T11:33:35"/>
    <x v="3"/>
    <n v="6"/>
    <n v="1800"/>
    <x v="3"/>
    <s v="C0335"/>
    <n v="10800"/>
  </r>
  <r>
    <d v="2024-02-17T23:14:51"/>
    <x v="4"/>
    <n v="6"/>
    <n v="150"/>
    <x v="3"/>
    <s v="C0043"/>
    <n v="900"/>
  </r>
  <r>
    <d v="2024-02-18T10:56:07"/>
    <x v="3"/>
    <n v="5"/>
    <n v="1800"/>
    <x v="2"/>
    <s v="C0353"/>
    <n v="9000"/>
  </r>
  <r>
    <d v="2024-02-18T22:37:23"/>
    <x v="3"/>
    <n v="6"/>
    <n v="1800"/>
    <x v="3"/>
    <s v="C0245"/>
    <n v="10800"/>
  </r>
  <r>
    <d v="2024-02-19T10:18:39"/>
    <x v="3"/>
    <n v="4"/>
    <n v="1800"/>
    <x v="1"/>
    <s v="C0287"/>
    <n v="7200"/>
  </r>
  <r>
    <d v="2024-02-19T21:59:55"/>
    <x v="4"/>
    <n v="1"/>
    <n v="1200"/>
    <x v="2"/>
    <s v="C0355"/>
    <n v="1200"/>
  </r>
  <r>
    <d v="2024-02-20T09:41:11"/>
    <x v="2"/>
    <n v="2"/>
    <n v="150"/>
    <x v="3"/>
    <s v="C0273"/>
    <n v="300"/>
  </r>
  <r>
    <d v="2024-02-20T21:22:27"/>
    <x v="2"/>
    <n v="1"/>
    <n v="150"/>
    <x v="0"/>
    <s v="C0476"/>
    <n v="150"/>
  </r>
  <r>
    <d v="2024-02-21T09:03:43"/>
    <x v="3"/>
    <n v="2"/>
    <n v="1200"/>
    <x v="2"/>
    <s v="C0083"/>
    <n v="2400"/>
  </r>
  <r>
    <d v="2024-02-21T20:44:59"/>
    <x v="0"/>
    <n v="2"/>
    <n v="700"/>
    <x v="2"/>
    <s v="C0110"/>
    <n v="1400"/>
  </r>
  <r>
    <d v="2024-02-22T08:26:15"/>
    <x v="5"/>
    <n v="1"/>
    <n v="450"/>
    <x v="0"/>
    <s v="C0438"/>
    <n v="450"/>
  </r>
  <r>
    <d v="2024-02-22T20:07:32"/>
    <x v="4"/>
    <n v="5"/>
    <n v="150"/>
    <x v="1"/>
    <s v="C0190"/>
    <n v="750"/>
  </r>
  <r>
    <d v="2024-02-23T07:48:48"/>
    <x v="5"/>
    <n v="2"/>
    <n v="450"/>
    <x v="0"/>
    <s v="C0471"/>
    <n v="900"/>
  </r>
  <r>
    <d v="2024-02-23T19:30:04"/>
    <x v="0"/>
    <n v="1"/>
    <n v="3500"/>
    <x v="2"/>
    <s v="C0288"/>
    <n v="3500"/>
  </r>
  <r>
    <d v="2024-02-24T07:11:20"/>
    <x v="4"/>
    <n v="2"/>
    <n v="3500"/>
    <x v="1"/>
    <s v="C0424"/>
    <n v="7000"/>
  </r>
  <r>
    <d v="2024-02-24T18:52:36"/>
    <x v="3"/>
    <n v="3"/>
    <n v="1200"/>
    <x v="3"/>
    <s v="C0397"/>
    <n v="3600"/>
  </r>
  <r>
    <d v="2024-02-25T06:33:52"/>
    <x v="2"/>
    <n v="5"/>
    <n v="3500"/>
    <x v="3"/>
    <s v="C0251"/>
    <n v="17500"/>
  </r>
  <r>
    <d v="2024-02-25T18:15:08"/>
    <x v="5"/>
    <n v="4"/>
    <n v="3500"/>
    <x v="3"/>
    <s v="C0212"/>
    <n v="14000"/>
  </r>
  <r>
    <d v="2024-02-26T05:56:24"/>
    <x v="1"/>
    <n v="2"/>
    <n v="700"/>
    <x v="2"/>
    <s v="C0291"/>
    <n v="1400"/>
  </r>
  <r>
    <d v="2024-02-26T17:37:40"/>
    <x v="1"/>
    <n v="3"/>
    <n v="700"/>
    <x v="0"/>
    <s v="C0133"/>
    <n v="2100"/>
  </r>
  <r>
    <d v="2024-02-27T05:18:56"/>
    <x v="0"/>
    <n v="4"/>
    <n v="700"/>
    <x v="1"/>
    <s v="C0201"/>
    <n v="2800"/>
  </r>
  <r>
    <d v="2024-02-27T17:00:12"/>
    <x v="3"/>
    <n v="4"/>
    <n v="3500"/>
    <x v="3"/>
    <s v="C0285"/>
    <n v="14000"/>
  </r>
  <r>
    <d v="2024-02-28T04:41:28"/>
    <x v="5"/>
    <n v="2"/>
    <n v="1200"/>
    <x v="1"/>
    <s v="C0326"/>
    <n v="2400"/>
  </r>
  <r>
    <d v="2024-02-28T16:22:44"/>
    <x v="3"/>
    <n v="1"/>
    <n v="1800"/>
    <x v="2"/>
    <s v="C0409"/>
    <n v="1800"/>
  </r>
  <r>
    <d v="2024-02-29T04:04:00"/>
    <x v="5"/>
    <n v="2"/>
    <n v="1800"/>
    <x v="3"/>
    <s v="C0095"/>
    <n v="3600"/>
  </r>
  <r>
    <d v="2024-02-29T15:45:16"/>
    <x v="0"/>
    <n v="3"/>
    <n v="450"/>
    <x v="2"/>
    <s v="C0278"/>
    <n v="1350"/>
  </r>
  <r>
    <d v="2024-03-01T03:26:32"/>
    <x v="0"/>
    <n v="4"/>
    <n v="1800"/>
    <x v="0"/>
    <s v="C0450"/>
    <n v="7200"/>
  </r>
  <r>
    <d v="2024-03-01T15:07:48"/>
    <x v="1"/>
    <n v="2"/>
    <n v="1800"/>
    <x v="2"/>
    <s v="C0429"/>
    <n v="3600"/>
  </r>
  <r>
    <d v="2024-03-02T02:49:04"/>
    <x v="3"/>
    <n v="1"/>
    <n v="700"/>
    <x v="2"/>
    <s v="C0325"/>
    <n v="700"/>
  </r>
  <r>
    <d v="2024-03-02T14:30:20"/>
    <x v="4"/>
    <n v="2"/>
    <n v="700"/>
    <x v="0"/>
    <s v="C0219"/>
    <n v="1400"/>
  </r>
  <r>
    <d v="2024-03-03T02:11:36"/>
    <x v="1"/>
    <n v="5"/>
    <n v="3500"/>
    <x v="1"/>
    <s v="C0089"/>
    <n v="17500"/>
  </r>
  <r>
    <d v="2024-03-03T13:52:53"/>
    <x v="3"/>
    <n v="1"/>
    <n v="450"/>
    <x v="0"/>
    <s v="C0072"/>
    <n v="450"/>
  </r>
  <r>
    <d v="2024-03-04T01:34:09"/>
    <x v="1"/>
    <n v="3"/>
    <n v="150"/>
    <x v="0"/>
    <s v="C0247"/>
    <n v="450"/>
  </r>
  <r>
    <d v="2024-03-04T13:15:25"/>
    <x v="4"/>
    <n v="4"/>
    <n v="450"/>
    <x v="2"/>
    <s v="C0129"/>
    <n v="1800"/>
  </r>
  <r>
    <d v="2024-03-05T00:56:41"/>
    <x v="2"/>
    <n v="2"/>
    <n v="450"/>
    <x v="1"/>
    <s v="C0212"/>
    <n v="900"/>
  </r>
  <r>
    <d v="2024-03-05T12:37:57"/>
    <x v="2"/>
    <n v="1"/>
    <n v="1200"/>
    <x v="3"/>
    <s v="C0428"/>
    <n v="1200"/>
  </r>
  <r>
    <d v="2024-03-06T00:19:13"/>
    <x v="2"/>
    <n v="5"/>
    <n v="3500"/>
    <x v="0"/>
    <s v="C0343"/>
    <n v="17500"/>
  </r>
  <r>
    <d v="2024-03-06T12:00:29"/>
    <x v="2"/>
    <n v="1"/>
    <n v="1200"/>
    <x v="1"/>
    <s v="C0096"/>
    <n v="1200"/>
  </r>
  <r>
    <d v="2024-03-06T23:41:45"/>
    <x v="5"/>
    <n v="6"/>
    <n v="450"/>
    <x v="0"/>
    <s v="C0075"/>
    <n v="2700"/>
  </r>
  <r>
    <d v="2024-03-07T11:23:01"/>
    <x v="2"/>
    <n v="5"/>
    <n v="450"/>
    <x v="0"/>
    <s v="C0423"/>
    <n v="2250"/>
  </r>
  <r>
    <d v="2024-03-07T23:04:17"/>
    <x v="4"/>
    <n v="3"/>
    <n v="450"/>
    <x v="0"/>
    <s v="C0495"/>
    <n v="1350"/>
  </r>
  <r>
    <d v="2024-03-08T10:45:33"/>
    <x v="0"/>
    <n v="4"/>
    <n v="1800"/>
    <x v="0"/>
    <s v="C0054"/>
    <n v="7200"/>
  </r>
  <r>
    <d v="2024-03-08T22:26:49"/>
    <x v="0"/>
    <n v="3"/>
    <n v="1200"/>
    <x v="2"/>
    <s v="C0344"/>
    <n v="3600"/>
  </r>
  <r>
    <d v="2024-03-09T10:08:05"/>
    <x v="5"/>
    <n v="2"/>
    <n v="450"/>
    <x v="1"/>
    <s v="C0459"/>
    <n v="900"/>
  </r>
  <r>
    <d v="2024-03-09T21:49:21"/>
    <x v="2"/>
    <n v="1"/>
    <n v="700"/>
    <x v="1"/>
    <s v="C0413"/>
    <n v="700"/>
  </r>
  <r>
    <d v="2024-03-10T09:30:37"/>
    <x v="2"/>
    <n v="6"/>
    <n v="3500"/>
    <x v="1"/>
    <s v="C0054"/>
    <n v="21000"/>
  </r>
  <r>
    <d v="2024-03-10T21:11:53"/>
    <x v="2"/>
    <n v="5"/>
    <n v="3500"/>
    <x v="0"/>
    <s v="C0218"/>
    <n v="17500"/>
  </r>
  <r>
    <d v="2024-03-11T08:53:09"/>
    <x v="1"/>
    <n v="5"/>
    <n v="700"/>
    <x v="2"/>
    <s v="C0016"/>
    <n v="3500"/>
  </r>
  <r>
    <d v="2024-03-11T20:34:25"/>
    <x v="3"/>
    <n v="1"/>
    <n v="3500"/>
    <x v="0"/>
    <s v="C0099"/>
    <n v="3500"/>
  </r>
  <r>
    <d v="2024-03-12T08:15:41"/>
    <x v="1"/>
    <n v="6"/>
    <n v="1800"/>
    <x v="0"/>
    <s v="C0020"/>
    <n v="10800"/>
  </r>
  <r>
    <d v="2024-03-12T19:56:57"/>
    <x v="3"/>
    <n v="1"/>
    <n v="1800"/>
    <x v="1"/>
    <s v="C0046"/>
    <n v="1800"/>
  </r>
  <r>
    <d v="2024-03-13T07:38:14"/>
    <x v="2"/>
    <n v="2"/>
    <n v="150"/>
    <x v="0"/>
    <s v="C0451"/>
    <n v="300"/>
  </r>
  <r>
    <d v="2024-03-13T19:19:30"/>
    <x v="2"/>
    <n v="3"/>
    <n v="150"/>
    <x v="3"/>
    <s v="C0193"/>
    <n v="450"/>
  </r>
  <r>
    <d v="2024-03-14T07:00:46"/>
    <x v="1"/>
    <n v="5"/>
    <n v="150"/>
    <x v="0"/>
    <s v="C0383"/>
    <n v="750"/>
  </r>
  <r>
    <d v="2024-03-14T18:42:02"/>
    <x v="1"/>
    <n v="2"/>
    <n v="3500"/>
    <x v="3"/>
    <s v="C0058"/>
    <n v="7000"/>
  </r>
  <r>
    <d v="2024-03-15T06:23:18"/>
    <x v="3"/>
    <n v="3"/>
    <n v="1800"/>
    <x v="0"/>
    <s v="C0437"/>
    <n v="5400"/>
  </r>
  <r>
    <d v="2024-03-15T18:04:34"/>
    <x v="0"/>
    <n v="2"/>
    <n v="1800"/>
    <x v="2"/>
    <s v="C0111"/>
    <n v="3600"/>
  </r>
  <r>
    <d v="2024-03-16T05:45:50"/>
    <x v="3"/>
    <n v="6"/>
    <n v="1800"/>
    <x v="2"/>
    <s v="C0129"/>
    <n v="10800"/>
  </r>
  <r>
    <d v="2024-03-16T17:27:06"/>
    <x v="1"/>
    <n v="5"/>
    <n v="700"/>
    <x v="1"/>
    <s v="C0337"/>
    <n v="3500"/>
  </r>
  <r>
    <d v="2024-03-17T05:08:22"/>
    <x v="4"/>
    <n v="1"/>
    <n v="1800"/>
    <x v="0"/>
    <s v="C0194"/>
    <n v="1800"/>
  </r>
  <r>
    <d v="2024-03-17T16:49:38"/>
    <x v="1"/>
    <n v="1"/>
    <n v="700"/>
    <x v="3"/>
    <s v="C0413"/>
    <n v="700"/>
  </r>
  <r>
    <d v="2024-03-18T04:30:54"/>
    <x v="4"/>
    <n v="3"/>
    <n v="150"/>
    <x v="3"/>
    <s v="C0340"/>
    <n v="450"/>
  </r>
  <r>
    <d v="2024-03-18T16:12:10"/>
    <x v="5"/>
    <n v="4"/>
    <n v="150"/>
    <x v="0"/>
    <s v="C0326"/>
    <n v="600"/>
  </r>
  <r>
    <d v="2024-03-19T03:53:26"/>
    <x v="1"/>
    <n v="6"/>
    <n v="3500"/>
    <x v="3"/>
    <s v="C0008"/>
    <n v="21000"/>
  </r>
  <r>
    <d v="2024-03-19T15:34:42"/>
    <x v="5"/>
    <n v="3"/>
    <n v="150"/>
    <x v="2"/>
    <s v="C0029"/>
    <n v="450"/>
  </r>
  <r>
    <d v="2024-03-20T03:15:58"/>
    <x v="0"/>
    <n v="4"/>
    <n v="3500"/>
    <x v="3"/>
    <s v="C0112"/>
    <n v="14000"/>
  </r>
  <r>
    <d v="2024-03-20T14:57:14"/>
    <x v="3"/>
    <n v="2"/>
    <n v="450"/>
    <x v="1"/>
    <s v="C0435"/>
    <n v="900"/>
  </r>
  <r>
    <d v="2024-03-21T02:38:30"/>
    <x v="4"/>
    <n v="6"/>
    <n v="450"/>
    <x v="2"/>
    <s v="C0161"/>
    <n v="2700"/>
  </r>
  <r>
    <d v="2024-03-21T14:19:46"/>
    <x v="3"/>
    <n v="2"/>
    <n v="1200"/>
    <x v="2"/>
    <s v="C0131"/>
    <n v="2400"/>
  </r>
  <r>
    <d v="2024-03-22T02:01:02"/>
    <x v="5"/>
    <n v="5"/>
    <n v="3500"/>
    <x v="2"/>
    <s v="C0188"/>
    <n v="17500"/>
  </r>
  <r>
    <d v="2024-03-22T13:42:18"/>
    <x v="4"/>
    <n v="6"/>
    <n v="1200"/>
    <x v="0"/>
    <s v="C0163"/>
    <n v="7200"/>
  </r>
  <r>
    <d v="2024-03-23T01:23:35"/>
    <x v="3"/>
    <n v="4"/>
    <n v="1200"/>
    <x v="0"/>
    <s v="C0197"/>
    <n v="4800"/>
  </r>
  <r>
    <d v="2024-03-23T13:04:51"/>
    <x v="1"/>
    <n v="5"/>
    <n v="450"/>
    <x v="2"/>
    <s v="C0475"/>
    <n v="2250"/>
  </r>
  <r>
    <d v="2024-03-24T00:46:07"/>
    <x v="2"/>
    <n v="1"/>
    <n v="3500"/>
    <x v="0"/>
    <s v="C0364"/>
    <n v="3500"/>
  </r>
  <r>
    <d v="2024-03-24T12:27:23"/>
    <x v="5"/>
    <n v="4"/>
    <n v="450"/>
    <x v="3"/>
    <s v="C0204"/>
    <n v="1800"/>
  </r>
  <r>
    <d v="2024-03-25T00:08:39"/>
    <x v="3"/>
    <n v="3"/>
    <n v="1200"/>
    <x v="0"/>
    <s v="C0212"/>
    <n v="3600"/>
  </r>
  <r>
    <d v="2024-03-25T11:49:55"/>
    <x v="5"/>
    <n v="1"/>
    <n v="3500"/>
    <x v="0"/>
    <s v="C0109"/>
    <n v="3500"/>
  </r>
  <r>
    <d v="2024-03-25T23:31:11"/>
    <x v="5"/>
    <n v="1"/>
    <n v="1200"/>
    <x v="2"/>
    <s v="C0276"/>
    <n v="1200"/>
  </r>
  <r>
    <d v="2024-03-26T11:12:27"/>
    <x v="4"/>
    <n v="3"/>
    <n v="1800"/>
    <x v="1"/>
    <s v="C0073"/>
    <n v="5400"/>
  </r>
  <r>
    <d v="2024-03-26T22:53:43"/>
    <x v="4"/>
    <n v="6"/>
    <n v="3500"/>
    <x v="1"/>
    <s v="C0167"/>
    <n v="21000"/>
  </r>
  <r>
    <d v="2024-03-27T10:34:59"/>
    <x v="2"/>
    <n v="1"/>
    <n v="3500"/>
    <x v="1"/>
    <s v="C0260"/>
    <n v="3500"/>
  </r>
  <r>
    <d v="2024-03-27T22:16:15"/>
    <x v="1"/>
    <n v="4"/>
    <n v="1200"/>
    <x v="3"/>
    <s v="C0243"/>
    <n v="4800"/>
  </r>
  <r>
    <d v="2024-03-28T09:57:31"/>
    <x v="5"/>
    <n v="5"/>
    <n v="1800"/>
    <x v="0"/>
    <s v="C0275"/>
    <n v="9000"/>
  </r>
  <r>
    <d v="2024-03-28T21:38:47"/>
    <x v="3"/>
    <n v="1"/>
    <n v="700"/>
    <x v="1"/>
    <s v="C0102"/>
    <n v="700"/>
  </r>
  <r>
    <d v="2024-03-29T09:20:03"/>
    <x v="0"/>
    <n v="4"/>
    <n v="450"/>
    <x v="2"/>
    <s v="C0475"/>
    <n v="1800"/>
  </r>
  <r>
    <d v="2024-03-29T21:01:19"/>
    <x v="5"/>
    <n v="2"/>
    <n v="1200"/>
    <x v="1"/>
    <s v="C0173"/>
    <n v="2400"/>
  </r>
  <r>
    <d v="2024-03-30T08:42:35"/>
    <x v="5"/>
    <n v="4"/>
    <n v="3500"/>
    <x v="1"/>
    <s v="C0171"/>
    <n v="14000"/>
  </r>
  <r>
    <d v="2024-03-30T20:23:51"/>
    <x v="2"/>
    <n v="5"/>
    <n v="450"/>
    <x v="0"/>
    <s v="C0141"/>
    <n v="2250"/>
  </r>
  <r>
    <d v="2024-03-31T08:05:07"/>
    <x v="1"/>
    <n v="4"/>
    <n v="450"/>
    <x v="0"/>
    <s v="C0397"/>
    <n v="1800"/>
  </r>
  <r>
    <d v="2024-03-31T19:46:23"/>
    <x v="0"/>
    <n v="3"/>
    <n v="450"/>
    <x v="0"/>
    <s v="C0188"/>
    <n v="1350"/>
  </r>
  <r>
    <d v="2024-04-01T07:27:40"/>
    <x v="4"/>
    <n v="5"/>
    <n v="700"/>
    <x v="3"/>
    <s v="C0441"/>
    <n v="3500"/>
  </r>
  <r>
    <d v="2024-04-01T19:08:56"/>
    <x v="4"/>
    <n v="6"/>
    <n v="150"/>
    <x v="3"/>
    <s v="C0086"/>
    <n v="900"/>
  </r>
  <r>
    <d v="2024-04-02T06:50:12"/>
    <x v="3"/>
    <n v="2"/>
    <n v="1200"/>
    <x v="1"/>
    <s v="C0476"/>
    <n v="2400"/>
  </r>
  <r>
    <d v="2024-04-02T18:31:28"/>
    <x v="0"/>
    <n v="3"/>
    <n v="150"/>
    <x v="0"/>
    <s v="C0052"/>
    <n v="450"/>
  </r>
  <r>
    <d v="2024-04-03T06:12:44"/>
    <x v="4"/>
    <n v="6"/>
    <n v="150"/>
    <x v="1"/>
    <s v="C0111"/>
    <n v="900"/>
  </r>
  <r>
    <d v="2024-04-03T17:54:00"/>
    <x v="3"/>
    <n v="4"/>
    <n v="150"/>
    <x v="2"/>
    <s v="C0437"/>
    <n v="600"/>
  </r>
  <r>
    <d v="2024-04-04T05:35:16"/>
    <x v="1"/>
    <n v="5"/>
    <n v="450"/>
    <x v="2"/>
    <s v="C0365"/>
    <n v="2250"/>
  </r>
  <r>
    <d v="2024-04-04T17:16:32"/>
    <x v="3"/>
    <n v="2"/>
    <n v="1800"/>
    <x v="0"/>
    <s v="C0342"/>
    <n v="3600"/>
  </r>
  <r>
    <d v="2024-04-05T04:57:48"/>
    <x v="4"/>
    <n v="3"/>
    <n v="450"/>
    <x v="0"/>
    <s v="C0043"/>
    <n v="1350"/>
  </r>
  <r>
    <d v="2024-04-05T16:39:04"/>
    <x v="2"/>
    <n v="6"/>
    <n v="450"/>
    <x v="2"/>
    <s v="C0211"/>
    <n v="2700"/>
  </r>
  <r>
    <d v="2024-04-06T04:20:20"/>
    <x v="2"/>
    <n v="6"/>
    <n v="3500"/>
    <x v="0"/>
    <s v="C0456"/>
    <n v="21000"/>
  </r>
  <r>
    <d v="2024-04-06T16:01:36"/>
    <x v="2"/>
    <n v="2"/>
    <n v="3500"/>
    <x v="3"/>
    <s v="C0200"/>
    <n v="7000"/>
  </r>
  <r>
    <d v="2024-04-07T03:42:52"/>
    <x v="4"/>
    <n v="4"/>
    <n v="150"/>
    <x v="3"/>
    <s v="C0298"/>
    <n v="600"/>
  </r>
  <r>
    <d v="2024-04-07T15:24:08"/>
    <x v="2"/>
    <n v="2"/>
    <n v="450"/>
    <x v="0"/>
    <s v="C0346"/>
    <n v="900"/>
  </r>
  <r>
    <d v="2024-04-08T03:05:24"/>
    <x v="0"/>
    <n v="6"/>
    <n v="150"/>
    <x v="2"/>
    <s v="C0240"/>
    <n v="900"/>
  </r>
  <r>
    <d v="2024-04-08T14:46:40"/>
    <x v="1"/>
    <n v="1"/>
    <n v="3500"/>
    <x v="1"/>
    <s v="C0115"/>
    <n v="3500"/>
  </r>
  <r>
    <d v="2024-04-09T02:27:56"/>
    <x v="3"/>
    <n v="3"/>
    <n v="1800"/>
    <x v="0"/>
    <s v="C0026"/>
    <n v="5400"/>
  </r>
  <r>
    <d v="2024-04-09T14:09:12"/>
    <x v="3"/>
    <n v="2"/>
    <n v="1200"/>
    <x v="0"/>
    <s v="C0407"/>
    <n v="2400"/>
  </r>
  <r>
    <d v="2024-04-10T01:50:28"/>
    <x v="4"/>
    <n v="6"/>
    <n v="150"/>
    <x v="1"/>
    <s v="C0299"/>
    <n v="900"/>
  </r>
  <r>
    <d v="2024-04-10T13:31:44"/>
    <x v="2"/>
    <n v="4"/>
    <n v="1800"/>
    <x v="0"/>
    <s v="C0077"/>
    <n v="7200"/>
  </r>
  <r>
    <d v="2024-04-11T01:13:01"/>
    <x v="2"/>
    <n v="6"/>
    <n v="1200"/>
    <x v="1"/>
    <s v="C0412"/>
    <n v="7200"/>
  </r>
  <r>
    <d v="2024-04-11T12:54:17"/>
    <x v="5"/>
    <n v="4"/>
    <n v="700"/>
    <x v="2"/>
    <s v="C0137"/>
    <n v="2800"/>
  </r>
  <r>
    <d v="2024-04-12T00:35:33"/>
    <x v="1"/>
    <n v="2"/>
    <n v="150"/>
    <x v="3"/>
    <s v="C0020"/>
    <n v="300"/>
  </r>
  <r>
    <d v="2024-04-12T12:16:49"/>
    <x v="0"/>
    <n v="4"/>
    <n v="150"/>
    <x v="2"/>
    <s v="C0440"/>
    <n v="600"/>
  </r>
  <r>
    <d v="2024-04-12T23:58:05"/>
    <x v="3"/>
    <n v="5"/>
    <n v="700"/>
    <x v="3"/>
    <s v="C0211"/>
    <n v="3500"/>
  </r>
  <r>
    <d v="2024-04-13T11:39:21"/>
    <x v="5"/>
    <n v="5"/>
    <n v="700"/>
    <x v="1"/>
    <s v="C0240"/>
    <n v="3500"/>
  </r>
  <r>
    <d v="2024-04-13T23:20:37"/>
    <x v="5"/>
    <n v="5"/>
    <n v="150"/>
    <x v="3"/>
    <s v="C0039"/>
    <n v="750"/>
  </r>
  <r>
    <d v="2024-04-14T11:01:53"/>
    <x v="4"/>
    <n v="1"/>
    <n v="700"/>
    <x v="2"/>
    <s v="C0435"/>
    <n v="700"/>
  </r>
  <r>
    <d v="2024-04-14T22:43:09"/>
    <x v="3"/>
    <n v="2"/>
    <n v="450"/>
    <x v="3"/>
    <s v="C0268"/>
    <n v="900"/>
  </r>
  <r>
    <d v="2024-04-15T10:24:25"/>
    <x v="4"/>
    <n v="6"/>
    <n v="1200"/>
    <x v="1"/>
    <s v="C0207"/>
    <n v="7200"/>
  </r>
  <r>
    <d v="2024-04-15T22:05:41"/>
    <x v="0"/>
    <n v="6"/>
    <n v="1200"/>
    <x v="3"/>
    <s v="C0479"/>
    <n v="7200"/>
  </r>
  <r>
    <d v="2024-04-16T09:46:57"/>
    <x v="5"/>
    <n v="1"/>
    <n v="1200"/>
    <x v="0"/>
    <s v="C0439"/>
    <n v="1200"/>
  </r>
  <r>
    <d v="2024-04-16T21:28:13"/>
    <x v="5"/>
    <n v="4"/>
    <n v="450"/>
    <x v="2"/>
    <s v="C0462"/>
    <n v="1800"/>
  </r>
  <r>
    <d v="2024-04-17T09:09:29"/>
    <x v="1"/>
    <n v="1"/>
    <n v="700"/>
    <x v="0"/>
    <s v="C0267"/>
    <n v="700"/>
  </r>
  <r>
    <d v="2024-04-17T20:50:45"/>
    <x v="0"/>
    <n v="4"/>
    <n v="1800"/>
    <x v="1"/>
    <s v="C0154"/>
    <n v="7200"/>
  </r>
  <r>
    <d v="2024-04-18T08:32:01"/>
    <x v="5"/>
    <n v="4"/>
    <n v="700"/>
    <x v="3"/>
    <s v="C0042"/>
    <n v="2800"/>
  </r>
  <r>
    <d v="2024-04-18T20:13:17"/>
    <x v="0"/>
    <n v="3"/>
    <n v="150"/>
    <x v="0"/>
    <s v="C0411"/>
    <n v="450"/>
  </r>
  <r>
    <d v="2024-04-19T07:54:33"/>
    <x v="3"/>
    <n v="6"/>
    <n v="3500"/>
    <x v="0"/>
    <s v="C0011"/>
    <n v="21000"/>
  </r>
  <r>
    <d v="2024-04-19T19:35:49"/>
    <x v="2"/>
    <n v="5"/>
    <n v="1200"/>
    <x v="3"/>
    <s v="C0294"/>
    <n v="6000"/>
  </r>
  <r>
    <d v="2024-04-20T07:17:05"/>
    <x v="5"/>
    <n v="4"/>
    <n v="700"/>
    <x v="3"/>
    <s v="C0098"/>
    <n v="2800"/>
  </r>
  <r>
    <d v="2024-04-20T18:58:22"/>
    <x v="1"/>
    <n v="3"/>
    <n v="1800"/>
    <x v="2"/>
    <s v="C0427"/>
    <n v="5400"/>
  </r>
  <r>
    <d v="2024-04-21T06:39:38"/>
    <x v="3"/>
    <n v="6"/>
    <n v="150"/>
    <x v="0"/>
    <s v="C0275"/>
    <n v="900"/>
  </r>
  <r>
    <d v="2024-04-21T18:20:54"/>
    <x v="0"/>
    <n v="5"/>
    <n v="450"/>
    <x v="0"/>
    <s v="C0448"/>
    <n v="2250"/>
  </r>
  <r>
    <d v="2024-04-22T06:02:10"/>
    <x v="4"/>
    <n v="4"/>
    <n v="450"/>
    <x v="1"/>
    <s v="C0390"/>
    <n v="1800"/>
  </r>
  <r>
    <d v="2024-04-22T17:43:26"/>
    <x v="3"/>
    <n v="4"/>
    <n v="1800"/>
    <x v="2"/>
    <s v="C0430"/>
    <n v="7200"/>
  </r>
  <r>
    <d v="2024-04-23T05:24:42"/>
    <x v="5"/>
    <n v="1"/>
    <n v="150"/>
    <x v="1"/>
    <s v="C0372"/>
    <n v="150"/>
  </r>
  <r>
    <d v="2024-04-23T17:05:58"/>
    <x v="0"/>
    <n v="1"/>
    <n v="1200"/>
    <x v="0"/>
    <s v="C0230"/>
    <n v="1200"/>
  </r>
  <r>
    <d v="2024-04-24T04:47:14"/>
    <x v="2"/>
    <n v="6"/>
    <n v="700"/>
    <x v="1"/>
    <s v="C0369"/>
    <n v="4200"/>
  </r>
  <r>
    <d v="2024-04-24T16:28:30"/>
    <x v="3"/>
    <n v="5"/>
    <n v="150"/>
    <x v="0"/>
    <s v="C0426"/>
    <n v="750"/>
  </r>
  <r>
    <d v="2024-04-25T04:09:46"/>
    <x v="5"/>
    <n v="4"/>
    <n v="450"/>
    <x v="0"/>
    <s v="C0220"/>
    <n v="1800"/>
  </r>
  <r>
    <d v="2024-04-25T15:51:02"/>
    <x v="1"/>
    <n v="6"/>
    <n v="1800"/>
    <x v="1"/>
    <s v="C0065"/>
    <n v="10800"/>
  </r>
  <r>
    <d v="2024-04-26T03:32:18"/>
    <x v="4"/>
    <n v="6"/>
    <n v="1800"/>
    <x v="1"/>
    <s v="C0355"/>
    <n v="10800"/>
  </r>
  <r>
    <d v="2024-04-26T15:13:34"/>
    <x v="0"/>
    <n v="2"/>
    <n v="700"/>
    <x v="3"/>
    <s v="C0232"/>
    <n v="1400"/>
  </r>
  <r>
    <d v="2024-04-27T02:54:50"/>
    <x v="3"/>
    <n v="1"/>
    <n v="1800"/>
    <x v="3"/>
    <s v="C0328"/>
    <n v="1800"/>
  </r>
  <r>
    <d v="2024-04-27T14:36:06"/>
    <x v="3"/>
    <n v="5"/>
    <n v="1800"/>
    <x v="3"/>
    <s v="C0443"/>
    <n v="9000"/>
  </r>
  <r>
    <d v="2024-04-28T02:17:22"/>
    <x v="2"/>
    <n v="4"/>
    <n v="150"/>
    <x v="0"/>
    <s v="C0052"/>
    <n v="600"/>
  </r>
  <r>
    <d v="2024-04-28T13:58:38"/>
    <x v="2"/>
    <n v="6"/>
    <n v="1200"/>
    <x v="1"/>
    <s v="C0374"/>
    <n v="7200"/>
  </r>
  <r>
    <d v="2024-04-29T01:39:54"/>
    <x v="1"/>
    <n v="4"/>
    <n v="700"/>
    <x v="2"/>
    <s v="C0431"/>
    <n v="2800"/>
  </r>
  <r>
    <d v="2024-04-29T13:21:10"/>
    <x v="4"/>
    <n v="2"/>
    <n v="150"/>
    <x v="0"/>
    <s v="C0376"/>
    <n v="300"/>
  </r>
  <r>
    <d v="2024-04-30T01:02:26"/>
    <x v="1"/>
    <n v="5"/>
    <n v="1200"/>
    <x v="2"/>
    <s v="C0263"/>
    <n v="6000"/>
  </r>
  <r>
    <d v="2024-04-30T12:43:43"/>
    <x v="5"/>
    <n v="6"/>
    <n v="150"/>
    <x v="1"/>
    <s v="C0267"/>
    <n v="900"/>
  </r>
  <r>
    <d v="2024-05-01T00:24:59"/>
    <x v="5"/>
    <n v="4"/>
    <n v="3500"/>
    <x v="0"/>
    <s v="C0359"/>
    <n v="14000"/>
  </r>
  <r>
    <d v="2024-05-01T12:06:15"/>
    <x v="1"/>
    <n v="1"/>
    <n v="150"/>
    <x v="2"/>
    <s v="C0317"/>
    <n v="150"/>
  </r>
  <r>
    <d v="2024-05-01T23:47:31"/>
    <x v="4"/>
    <n v="2"/>
    <n v="1800"/>
    <x v="2"/>
    <s v="C0324"/>
    <n v="3600"/>
  </r>
  <r>
    <d v="2024-05-02T11:28:47"/>
    <x v="1"/>
    <n v="5"/>
    <n v="1200"/>
    <x v="3"/>
    <s v="C0409"/>
    <n v="6000"/>
  </r>
  <r>
    <d v="2024-05-02T23:10:03"/>
    <x v="4"/>
    <n v="2"/>
    <n v="700"/>
    <x v="3"/>
    <s v="C0396"/>
    <n v="1400"/>
  </r>
  <r>
    <d v="2024-05-03T10:51:19"/>
    <x v="4"/>
    <n v="1"/>
    <n v="700"/>
    <x v="3"/>
    <s v="C0154"/>
    <n v="700"/>
  </r>
  <r>
    <d v="2024-05-03T22:32:35"/>
    <x v="0"/>
    <n v="5"/>
    <n v="1200"/>
    <x v="0"/>
    <s v="C0358"/>
    <n v="6000"/>
  </r>
  <r>
    <d v="2024-05-04T10:13:51"/>
    <x v="4"/>
    <n v="2"/>
    <n v="1800"/>
    <x v="1"/>
    <s v="C0366"/>
    <n v="3600"/>
  </r>
  <r>
    <d v="2024-05-04T21:55:07"/>
    <x v="2"/>
    <n v="3"/>
    <n v="450"/>
    <x v="1"/>
    <s v="C0140"/>
    <n v="1350"/>
  </r>
  <r>
    <d v="2024-05-05T09:36:23"/>
    <x v="4"/>
    <n v="1"/>
    <n v="150"/>
    <x v="3"/>
    <s v="C0427"/>
    <n v="150"/>
  </r>
  <r>
    <d v="2024-05-05T21:17:39"/>
    <x v="4"/>
    <n v="1"/>
    <n v="1800"/>
    <x v="3"/>
    <s v="C0051"/>
    <n v="1800"/>
  </r>
  <r>
    <d v="2024-05-06T08:58:55"/>
    <x v="4"/>
    <n v="1"/>
    <n v="3500"/>
    <x v="3"/>
    <s v="C0117"/>
    <n v="3500"/>
  </r>
  <r>
    <d v="2024-05-06T20:40:11"/>
    <x v="5"/>
    <n v="3"/>
    <n v="1200"/>
    <x v="2"/>
    <s v="C0421"/>
    <n v="3600"/>
  </r>
  <r>
    <d v="2024-05-07T08:21:27"/>
    <x v="2"/>
    <n v="3"/>
    <n v="150"/>
    <x v="3"/>
    <s v="C0046"/>
    <n v="450"/>
  </r>
  <r>
    <d v="2024-05-07T20:02:43"/>
    <x v="2"/>
    <n v="4"/>
    <n v="700"/>
    <x v="2"/>
    <s v="C0309"/>
    <n v="2800"/>
  </r>
  <r>
    <d v="2024-05-08T07:43:59"/>
    <x v="1"/>
    <n v="6"/>
    <n v="450"/>
    <x v="1"/>
    <s v="C0088"/>
    <n v="2700"/>
  </r>
  <r>
    <d v="2024-05-08T19:25:15"/>
    <x v="0"/>
    <n v="2"/>
    <n v="3500"/>
    <x v="0"/>
    <s v="C0208"/>
    <n v="7000"/>
  </r>
  <r>
    <d v="2024-05-09T07:06:31"/>
    <x v="4"/>
    <n v="4"/>
    <n v="700"/>
    <x v="0"/>
    <s v="C0377"/>
    <n v="2800"/>
  </r>
  <r>
    <d v="2024-05-09T18:47:48"/>
    <x v="3"/>
    <n v="2"/>
    <n v="1200"/>
    <x v="0"/>
    <s v="C0269"/>
    <n v="2400"/>
  </r>
  <r>
    <d v="2024-05-10T06:29:04"/>
    <x v="0"/>
    <n v="6"/>
    <n v="150"/>
    <x v="0"/>
    <s v="C0089"/>
    <n v="900"/>
  </r>
  <r>
    <d v="2024-05-10T18:10:20"/>
    <x v="0"/>
    <n v="3"/>
    <n v="1200"/>
    <x v="2"/>
    <s v="C0381"/>
    <n v="3600"/>
  </r>
  <r>
    <d v="2024-05-11T05:51:36"/>
    <x v="2"/>
    <n v="6"/>
    <n v="150"/>
    <x v="2"/>
    <s v="C0118"/>
    <n v="900"/>
  </r>
  <r>
    <d v="2024-05-11T17:32:52"/>
    <x v="0"/>
    <n v="3"/>
    <n v="1800"/>
    <x v="3"/>
    <s v="C0054"/>
    <n v="5400"/>
  </r>
  <r>
    <d v="2024-05-12T05:14:08"/>
    <x v="4"/>
    <n v="6"/>
    <n v="450"/>
    <x v="2"/>
    <s v="C0441"/>
    <n v="2700"/>
  </r>
  <r>
    <d v="2024-05-12T16:55:24"/>
    <x v="4"/>
    <n v="4"/>
    <n v="1800"/>
    <x v="3"/>
    <s v="C0116"/>
    <n v="7200"/>
  </r>
  <r>
    <d v="2024-05-13T04:36:40"/>
    <x v="5"/>
    <n v="5"/>
    <n v="1800"/>
    <x v="3"/>
    <s v="C0118"/>
    <n v="9000"/>
  </r>
  <r>
    <d v="2024-05-13T16:17:56"/>
    <x v="4"/>
    <n v="4"/>
    <n v="1200"/>
    <x v="0"/>
    <s v="C0260"/>
    <n v="4800"/>
  </r>
  <r>
    <d v="2024-05-14T03:59:12"/>
    <x v="4"/>
    <n v="2"/>
    <n v="450"/>
    <x v="2"/>
    <s v="C0075"/>
    <n v="900"/>
  </r>
  <r>
    <d v="2024-05-14T15:40:28"/>
    <x v="2"/>
    <n v="4"/>
    <n v="150"/>
    <x v="2"/>
    <s v="C0480"/>
    <n v="600"/>
  </r>
  <r>
    <d v="2024-05-15T03:21:44"/>
    <x v="4"/>
    <n v="1"/>
    <n v="150"/>
    <x v="3"/>
    <s v="C0305"/>
    <n v="150"/>
  </r>
  <r>
    <d v="2024-05-15T15:03:00"/>
    <x v="5"/>
    <n v="2"/>
    <n v="3500"/>
    <x v="3"/>
    <s v="C0007"/>
    <n v="7000"/>
  </r>
  <r>
    <d v="2024-05-16T02:44:16"/>
    <x v="3"/>
    <n v="6"/>
    <n v="700"/>
    <x v="1"/>
    <s v="C0366"/>
    <n v="4200"/>
  </r>
  <r>
    <d v="2024-05-16T14:25:32"/>
    <x v="2"/>
    <n v="2"/>
    <n v="3500"/>
    <x v="1"/>
    <s v="C0122"/>
    <n v="7000"/>
  </r>
  <r>
    <d v="2024-05-17T02:06:48"/>
    <x v="3"/>
    <n v="5"/>
    <n v="3500"/>
    <x v="3"/>
    <s v="C0011"/>
    <n v="17500"/>
  </r>
  <r>
    <d v="2024-05-17T13:48:04"/>
    <x v="2"/>
    <n v="3"/>
    <n v="150"/>
    <x v="1"/>
    <s v="C0348"/>
    <n v="450"/>
  </r>
  <r>
    <d v="2024-05-18T01:29:20"/>
    <x v="1"/>
    <n v="6"/>
    <n v="1200"/>
    <x v="1"/>
    <s v="C0438"/>
    <n v="7200"/>
  </r>
  <r>
    <d v="2024-05-18T13:10:36"/>
    <x v="0"/>
    <n v="2"/>
    <n v="1800"/>
    <x v="3"/>
    <s v="C0489"/>
    <n v="3600"/>
  </r>
  <r>
    <d v="2024-05-19T00:51:52"/>
    <x v="1"/>
    <n v="6"/>
    <n v="1800"/>
    <x v="3"/>
    <s v="C0215"/>
    <n v="10800"/>
  </r>
  <r>
    <d v="2024-05-19T12:33:09"/>
    <x v="4"/>
    <n v="6"/>
    <n v="1800"/>
    <x v="2"/>
    <s v="C0429"/>
    <n v="10800"/>
  </r>
  <r>
    <d v="2024-05-20T00:14:25"/>
    <x v="3"/>
    <n v="6"/>
    <n v="450"/>
    <x v="3"/>
    <s v="C0279"/>
    <n v="2700"/>
  </r>
  <r>
    <d v="2024-05-20T11:55:41"/>
    <x v="4"/>
    <n v="3"/>
    <n v="150"/>
    <x v="3"/>
    <s v="C0498"/>
    <n v="450"/>
  </r>
  <r>
    <d v="2024-05-20T23:36:57"/>
    <x v="0"/>
    <n v="4"/>
    <n v="1200"/>
    <x v="0"/>
    <s v="C0028"/>
    <n v="4800"/>
  </r>
  <r>
    <d v="2024-05-21T11:18:13"/>
    <x v="2"/>
    <n v="6"/>
    <n v="450"/>
    <x v="2"/>
    <s v="C0235"/>
    <n v="2700"/>
  </r>
  <r>
    <d v="2024-05-21T22:59:29"/>
    <x v="0"/>
    <n v="1"/>
    <n v="700"/>
    <x v="2"/>
    <s v="C0367"/>
    <n v="700"/>
  </r>
  <r>
    <d v="2024-05-22T10:40:45"/>
    <x v="5"/>
    <n v="5"/>
    <n v="1200"/>
    <x v="2"/>
    <s v="C0313"/>
    <n v="6000"/>
  </r>
  <r>
    <d v="2024-05-22T22:22:01"/>
    <x v="0"/>
    <n v="3"/>
    <n v="3500"/>
    <x v="0"/>
    <s v="C0026"/>
    <n v="10500"/>
  </r>
  <r>
    <d v="2024-05-23T10:03:17"/>
    <x v="5"/>
    <n v="2"/>
    <n v="1200"/>
    <x v="3"/>
    <s v="C0409"/>
    <n v="2400"/>
  </r>
  <r>
    <d v="2024-05-23T21:44:33"/>
    <x v="0"/>
    <n v="3"/>
    <n v="1200"/>
    <x v="2"/>
    <s v="C0054"/>
    <n v="3600"/>
  </r>
  <r>
    <d v="2024-05-24T09:25:49"/>
    <x v="5"/>
    <n v="2"/>
    <n v="1800"/>
    <x v="2"/>
    <s v="C0029"/>
    <n v="3600"/>
  </r>
  <r>
    <d v="2024-05-24T21:07:05"/>
    <x v="3"/>
    <n v="3"/>
    <n v="1200"/>
    <x v="1"/>
    <s v="C0467"/>
    <n v="3600"/>
  </r>
  <r>
    <d v="2024-05-25T08:48:21"/>
    <x v="4"/>
    <n v="2"/>
    <n v="3500"/>
    <x v="2"/>
    <s v="C0353"/>
    <n v="7000"/>
  </r>
  <r>
    <d v="2024-05-25T20:29:37"/>
    <x v="4"/>
    <n v="6"/>
    <n v="3500"/>
    <x v="3"/>
    <s v="C0164"/>
    <n v="21000"/>
  </r>
  <r>
    <d v="2024-05-26T08:10:53"/>
    <x v="1"/>
    <n v="4"/>
    <n v="150"/>
    <x v="3"/>
    <s v="C0270"/>
    <n v="600"/>
  </r>
  <r>
    <d v="2024-05-26T19:52:09"/>
    <x v="4"/>
    <n v="2"/>
    <n v="1200"/>
    <x v="1"/>
    <s v="C0334"/>
    <n v="2400"/>
  </r>
  <r>
    <d v="2024-05-27T07:33:25"/>
    <x v="2"/>
    <n v="2"/>
    <n v="1800"/>
    <x v="2"/>
    <s v="C0035"/>
    <n v="3600"/>
  </r>
  <r>
    <d v="2024-05-27T19:14:41"/>
    <x v="0"/>
    <n v="1"/>
    <n v="1200"/>
    <x v="2"/>
    <s v="C0286"/>
    <n v="1200"/>
  </r>
  <r>
    <d v="2024-05-28T06:55:57"/>
    <x v="1"/>
    <n v="2"/>
    <n v="700"/>
    <x v="2"/>
    <s v="C0348"/>
    <n v="1400"/>
  </r>
  <r>
    <d v="2024-05-28T18:37:13"/>
    <x v="2"/>
    <n v="1"/>
    <n v="700"/>
    <x v="0"/>
    <s v="C0273"/>
    <n v="700"/>
  </r>
  <r>
    <d v="2024-05-29T06:18:30"/>
    <x v="2"/>
    <n v="5"/>
    <n v="1800"/>
    <x v="2"/>
    <s v="C0451"/>
    <n v="9000"/>
  </r>
  <r>
    <d v="2024-05-29T17:59:46"/>
    <x v="5"/>
    <n v="6"/>
    <n v="150"/>
    <x v="3"/>
    <s v="C0208"/>
    <n v="900"/>
  </r>
  <r>
    <d v="2024-05-30T05:41:02"/>
    <x v="4"/>
    <n v="1"/>
    <n v="150"/>
    <x v="3"/>
    <s v="C0238"/>
    <n v="150"/>
  </r>
  <r>
    <d v="2024-05-30T17:22:18"/>
    <x v="3"/>
    <n v="4"/>
    <n v="3500"/>
    <x v="0"/>
    <s v="C0414"/>
    <n v="14000"/>
  </r>
  <r>
    <d v="2024-05-31T05:03:34"/>
    <x v="3"/>
    <n v="6"/>
    <n v="3500"/>
    <x v="0"/>
    <s v="C0093"/>
    <n v="21000"/>
  </r>
  <r>
    <d v="2024-05-31T16:44:50"/>
    <x v="1"/>
    <n v="1"/>
    <n v="450"/>
    <x v="2"/>
    <s v="C0173"/>
    <n v="450"/>
  </r>
  <r>
    <d v="2024-06-01T04:26:06"/>
    <x v="3"/>
    <n v="6"/>
    <n v="1800"/>
    <x v="1"/>
    <s v="C0079"/>
    <n v="10800"/>
  </r>
  <r>
    <d v="2024-06-01T16:07:22"/>
    <x v="0"/>
    <n v="6"/>
    <n v="1200"/>
    <x v="0"/>
    <s v="C0110"/>
    <n v="7200"/>
  </r>
  <r>
    <d v="2024-06-02T03:48:38"/>
    <x v="3"/>
    <n v="6"/>
    <n v="1800"/>
    <x v="0"/>
    <s v="C0217"/>
    <n v="10800"/>
  </r>
  <r>
    <d v="2024-06-02T15:29:54"/>
    <x v="1"/>
    <n v="5"/>
    <n v="450"/>
    <x v="2"/>
    <s v="C0435"/>
    <n v="2250"/>
  </r>
  <r>
    <d v="2024-06-03T03:11:10"/>
    <x v="3"/>
    <n v="4"/>
    <n v="3500"/>
    <x v="2"/>
    <s v="C0358"/>
    <n v="14000"/>
  </r>
  <r>
    <d v="2024-06-03T14:52:26"/>
    <x v="0"/>
    <n v="3"/>
    <n v="1800"/>
    <x v="0"/>
    <s v="C0106"/>
    <n v="5400"/>
  </r>
  <r>
    <d v="2024-06-04T02:33:42"/>
    <x v="5"/>
    <n v="3"/>
    <n v="1800"/>
    <x v="1"/>
    <s v="C0047"/>
    <n v="5400"/>
  </r>
  <r>
    <d v="2024-06-04T14:14:58"/>
    <x v="1"/>
    <n v="1"/>
    <n v="3500"/>
    <x v="0"/>
    <s v="C0181"/>
    <n v="3500"/>
  </r>
  <r>
    <d v="2024-06-05T01:56:14"/>
    <x v="5"/>
    <n v="6"/>
    <n v="450"/>
    <x v="2"/>
    <s v="C0064"/>
    <n v="2700"/>
  </r>
  <r>
    <d v="2024-06-05T13:37:30"/>
    <x v="5"/>
    <n v="1"/>
    <n v="3500"/>
    <x v="2"/>
    <s v="C0246"/>
    <n v="3500"/>
  </r>
  <r>
    <d v="2024-06-06T01:18:46"/>
    <x v="5"/>
    <n v="5"/>
    <n v="150"/>
    <x v="0"/>
    <s v="C0244"/>
    <n v="750"/>
  </r>
  <r>
    <d v="2024-06-06T13:00:02"/>
    <x v="2"/>
    <n v="5"/>
    <n v="1200"/>
    <x v="1"/>
    <s v="C0422"/>
    <n v="6000"/>
  </r>
  <r>
    <d v="2024-06-07T00:41:18"/>
    <x v="4"/>
    <n v="2"/>
    <n v="3500"/>
    <x v="0"/>
    <s v="C0320"/>
    <n v="7000"/>
  </r>
  <r>
    <d v="2024-06-07T12:22:35"/>
    <x v="2"/>
    <n v="5"/>
    <n v="450"/>
    <x v="0"/>
    <s v="C0087"/>
    <n v="2250"/>
  </r>
  <r>
    <d v="2024-06-08T00:03:51"/>
    <x v="4"/>
    <n v="2"/>
    <n v="700"/>
    <x v="2"/>
    <s v="C0217"/>
    <n v="1400"/>
  </r>
  <r>
    <d v="2024-06-08T11:45:07"/>
    <x v="5"/>
    <n v="4"/>
    <n v="150"/>
    <x v="1"/>
    <s v="C0490"/>
    <n v="600"/>
  </r>
  <r>
    <d v="2024-06-08T23:26:23"/>
    <x v="1"/>
    <n v="1"/>
    <n v="700"/>
    <x v="3"/>
    <s v="C0007"/>
    <n v="700"/>
  </r>
  <r>
    <d v="2024-06-09T11:07:39"/>
    <x v="4"/>
    <n v="4"/>
    <n v="3500"/>
    <x v="1"/>
    <s v="C0278"/>
    <n v="14000"/>
  </r>
  <r>
    <d v="2024-06-09T22:48:55"/>
    <x v="0"/>
    <n v="5"/>
    <n v="150"/>
    <x v="0"/>
    <s v="C0337"/>
    <n v="750"/>
  </r>
  <r>
    <d v="2024-06-10T10:30:11"/>
    <x v="0"/>
    <n v="4"/>
    <n v="1200"/>
    <x v="0"/>
    <s v="C0210"/>
    <n v="4800"/>
  </r>
  <r>
    <d v="2024-06-10T22:11:27"/>
    <x v="3"/>
    <n v="4"/>
    <n v="3500"/>
    <x v="0"/>
    <s v="C0497"/>
    <n v="14000"/>
  </r>
  <r>
    <d v="2024-06-11T09:52:43"/>
    <x v="4"/>
    <n v="4"/>
    <n v="1200"/>
    <x v="1"/>
    <s v="C0169"/>
    <n v="4800"/>
  </r>
  <r>
    <d v="2024-06-11T21:33:59"/>
    <x v="1"/>
    <n v="5"/>
    <n v="1800"/>
    <x v="2"/>
    <s v="C0330"/>
    <n v="9000"/>
  </r>
  <r>
    <d v="2024-06-12T09:15:15"/>
    <x v="2"/>
    <n v="6"/>
    <n v="700"/>
    <x v="0"/>
    <s v="C0138"/>
    <n v="4200"/>
  </r>
  <r>
    <d v="2024-06-12T20:56:31"/>
    <x v="5"/>
    <n v="4"/>
    <n v="150"/>
    <x v="0"/>
    <s v="C0441"/>
    <n v="600"/>
  </r>
  <r>
    <d v="2024-06-13T08:37:47"/>
    <x v="3"/>
    <n v="2"/>
    <n v="1200"/>
    <x v="1"/>
    <s v="C0391"/>
    <n v="2400"/>
  </r>
  <r>
    <d v="2024-06-13T20:19:03"/>
    <x v="0"/>
    <n v="5"/>
    <n v="450"/>
    <x v="3"/>
    <s v="C0496"/>
    <n v="2250"/>
  </r>
  <r>
    <d v="2024-06-14T08:00:19"/>
    <x v="2"/>
    <n v="4"/>
    <n v="1200"/>
    <x v="3"/>
    <s v="C0381"/>
    <n v="4800"/>
  </r>
  <r>
    <d v="2024-06-14T19:41:35"/>
    <x v="2"/>
    <n v="6"/>
    <n v="450"/>
    <x v="2"/>
    <s v="C0306"/>
    <n v="2700"/>
  </r>
  <r>
    <d v="2024-06-15T07:22:51"/>
    <x v="5"/>
    <n v="5"/>
    <n v="3500"/>
    <x v="2"/>
    <s v="C0230"/>
    <n v="17500"/>
  </r>
  <r>
    <d v="2024-06-15T19:04:07"/>
    <x v="4"/>
    <n v="3"/>
    <n v="150"/>
    <x v="0"/>
    <s v="C0475"/>
    <n v="450"/>
  </r>
  <r>
    <d v="2024-06-16T06:45:23"/>
    <x v="0"/>
    <n v="6"/>
    <n v="1200"/>
    <x v="1"/>
    <s v="C0308"/>
    <n v="7200"/>
  </r>
  <r>
    <d v="2024-06-16T18:26:39"/>
    <x v="1"/>
    <n v="2"/>
    <n v="1200"/>
    <x v="0"/>
    <s v="C0161"/>
    <n v="2400"/>
  </r>
  <r>
    <d v="2024-06-17T06:07:56"/>
    <x v="2"/>
    <n v="4"/>
    <n v="150"/>
    <x v="2"/>
    <s v="C0001"/>
    <n v="600"/>
  </r>
  <r>
    <d v="2024-06-17T17:49:12"/>
    <x v="5"/>
    <n v="3"/>
    <n v="1200"/>
    <x v="1"/>
    <s v="C0236"/>
    <n v="3600"/>
  </r>
  <r>
    <d v="2024-06-18T05:30:28"/>
    <x v="1"/>
    <n v="3"/>
    <n v="450"/>
    <x v="1"/>
    <s v="C0437"/>
    <n v="1350"/>
  </r>
  <r>
    <d v="2024-06-18T17:11:44"/>
    <x v="4"/>
    <n v="5"/>
    <n v="1200"/>
    <x v="2"/>
    <s v="C0188"/>
    <n v="6000"/>
  </r>
  <r>
    <d v="2024-06-19T04:53:00"/>
    <x v="0"/>
    <n v="3"/>
    <n v="700"/>
    <x v="3"/>
    <s v="C0418"/>
    <n v="2100"/>
  </r>
  <r>
    <d v="2024-06-19T16:34:16"/>
    <x v="4"/>
    <n v="2"/>
    <n v="3500"/>
    <x v="3"/>
    <s v="C0004"/>
    <n v="7000"/>
  </r>
  <r>
    <d v="2024-06-20T04:15:32"/>
    <x v="2"/>
    <n v="2"/>
    <n v="1800"/>
    <x v="1"/>
    <s v="C0401"/>
    <n v="3600"/>
  </r>
  <r>
    <d v="2024-06-20T15:56:48"/>
    <x v="1"/>
    <n v="1"/>
    <n v="450"/>
    <x v="0"/>
    <s v="C0132"/>
    <n v="450"/>
  </r>
  <r>
    <d v="2024-06-21T03:38:04"/>
    <x v="1"/>
    <n v="2"/>
    <n v="700"/>
    <x v="3"/>
    <s v="C0427"/>
    <n v="1400"/>
  </r>
  <r>
    <d v="2024-06-21T15:19:20"/>
    <x v="1"/>
    <n v="6"/>
    <n v="3500"/>
    <x v="0"/>
    <s v="C0218"/>
    <n v="21000"/>
  </r>
  <r>
    <d v="2024-06-22T03:00:36"/>
    <x v="2"/>
    <n v="3"/>
    <n v="150"/>
    <x v="3"/>
    <s v="C0260"/>
    <n v="450"/>
  </r>
  <r>
    <d v="2024-06-22T14:41:52"/>
    <x v="2"/>
    <n v="2"/>
    <n v="450"/>
    <x v="3"/>
    <s v="C0001"/>
    <n v="900"/>
  </r>
  <r>
    <d v="2024-06-23T02:23:08"/>
    <x v="4"/>
    <n v="5"/>
    <n v="1800"/>
    <x v="0"/>
    <s v="C0071"/>
    <n v="9000"/>
  </r>
  <r>
    <d v="2024-06-23T14:04:24"/>
    <x v="3"/>
    <n v="1"/>
    <n v="3500"/>
    <x v="2"/>
    <s v="C0478"/>
    <n v="3500"/>
  </r>
  <r>
    <d v="2024-06-24T01:45:40"/>
    <x v="4"/>
    <n v="3"/>
    <n v="1800"/>
    <x v="3"/>
    <s v="C0178"/>
    <n v="5400"/>
  </r>
  <r>
    <d v="2024-06-24T13:26:56"/>
    <x v="0"/>
    <n v="1"/>
    <n v="150"/>
    <x v="3"/>
    <s v="C0457"/>
    <n v="150"/>
  </r>
  <r>
    <d v="2024-06-25T01:08:12"/>
    <x v="5"/>
    <n v="3"/>
    <n v="150"/>
    <x v="0"/>
    <s v="C0189"/>
    <n v="450"/>
  </r>
  <r>
    <d v="2024-06-25T12:49:28"/>
    <x v="1"/>
    <n v="5"/>
    <n v="450"/>
    <x v="2"/>
    <s v="C0291"/>
    <n v="2250"/>
  </r>
  <r>
    <d v="2024-06-26T00:30:44"/>
    <x v="3"/>
    <n v="1"/>
    <n v="1200"/>
    <x v="3"/>
    <s v="C0008"/>
    <n v="1200"/>
  </r>
  <r>
    <d v="2024-06-26T12:12:00"/>
    <x v="5"/>
    <n v="4"/>
    <n v="150"/>
    <x v="3"/>
    <s v="C0253"/>
    <n v="600"/>
  </r>
  <r>
    <d v="2024-06-26T23:53:17"/>
    <x v="3"/>
    <n v="6"/>
    <n v="3500"/>
    <x v="2"/>
    <s v="C0408"/>
    <n v="21000"/>
  </r>
  <r>
    <d v="2024-06-27T11:34:33"/>
    <x v="4"/>
    <n v="6"/>
    <n v="1200"/>
    <x v="3"/>
    <s v="C0467"/>
    <n v="7200"/>
  </r>
  <r>
    <d v="2024-06-27T23:15:49"/>
    <x v="2"/>
    <n v="3"/>
    <n v="700"/>
    <x v="2"/>
    <s v="C0292"/>
    <n v="2100"/>
  </r>
  <r>
    <d v="2024-06-28T10:57:05"/>
    <x v="1"/>
    <n v="4"/>
    <n v="1800"/>
    <x v="2"/>
    <s v="C0434"/>
    <n v="7200"/>
  </r>
  <r>
    <d v="2024-06-28T22:38:21"/>
    <x v="4"/>
    <n v="1"/>
    <n v="1200"/>
    <x v="0"/>
    <s v="C0244"/>
    <n v="1200"/>
  </r>
  <r>
    <d v="2024-06-29T10:19:37"/>
    <x v="5"/>
    <n v="4"/>
    <n v="1800"/>
    <x v="1"/>
    <s v="C0123"/>
    <n v="7200"/>
  </r>
  <r>
    <d v="2024-06-29T22:00:53"/>
    <x v="5"/>
    <n v="4"/>
    <n v="1200"/>
    <x v="2"/>
    <s v="C0299"/>
    <n v="4800"/>
  </r>
  <r>
    <d v="2024-06-30T09:42:09"/>
    <x v="5"/>
    <n v="1"/>
    <n v="700"/>
    <x v="0"/>
    <s v="C0283"/>
    <n v="700"/>
  </r>
  <r>
    <d v="2024-06-30T21:23:25"/>
    <x v="5"/>
    <n v="5"/>
    <n v="150"/>
    <x v="1"/>
    <s v="C0032"/>
    <n v="750"/>
  </r>
  <r>
    <d v="2024-07-01T09:04:41"/>
    <x v="5"/>
    <n v="4"/>
    <n v="700"/>
    <x v="3"/>
    <s v="C0334"/>
    <n v="2800"/>
  </r>
  <r>
    <d v="2024-07-01T20:45:57"/>
    <x v="3"/>
    <n v="4"/>
    <n v="150"/>
    <x v="1"/>
    <s v="C0377"/>
    <n v="600"/>
  </r>
  <r>
    <d v="2024-07-02T08:27:13"/>
    <x v="4"/>
    <n v="5"/>
    <n v="150"/>
    <x v="2"/>
    <s v="C0146"/>
    <n v="750"/>
  </r>
  <r>
    <d v="2024-07-02T20:08:29"/>
    <x v="1"/>
    <n v="4"/>
    <n v="1800"/>
    <x v="2"/>
    <s v="C0156"/>
    <n v="7200"/>
  </r>
  <r>
    <d v="2024-07-03T07:49:45"/>
    <x v="2"/>
    <n v="4"/>
    <n v="3500"/>
    <x v="2"/>
    <s v="C0413"/>
    <n v="14000"/>
  </r>
  <r>
    <d v="2024-07-03T19:31:01"/>
    <x v="2"/>
    <n v="4"/>
    <n v="700"/>
    <x v="2"/>
    <s v="C0016"/>
    <n v="2800"/>
  </r>
  <r>
    <d v="2024-07-04T07:12:17"/>
    <x v="4"/>
    <n v="6"/>
    <n v="1200"/>
    <x v="2"/>
    <s v="C0355"/>
    <n v="7200"/>
  </r>
  <r>
    <d v="2024-07-04T18:53:33"/>
    <x v="4"/>
    <n v="2"/>
    <n v="700"/>
    <x v="0"/>
    <s v="C0047"/>
    <n v="1400"/>
  </r>
  <r>
    <d v="2024-07-05T06:34:49"/>
    <x v="2"/>
    <n v="5"/>
    <n v="1800"/>
    <x v="2"/>
    <s v="C0251"/>
    <n v="9000"/>
  </r>
  <r>
    <d v="2024-07-05T18:16:05"/>
    <x v="2"/>
    <n v="4"/>
    <n v="150"/>
    <x v="0"/>
    <s v="C0187"/>
    <n v="600"/>
  </r>
  <r>
    <d v="2024-07-06T05:57:21"/>
    <x v="3"/>
    <n v="6"/>
    <n v="1800"/>
    <x v="3"/>
    <s v="C0031"/>
    <n v="10800"/>
  </r>
  <r>
    <d v="2024-07-06T17:38:38"/>
    <x v="0"/>
    <n v="5"/>
    <n v="450"/>
    <x v="2"/>
    <s v="C0260"/>
    <n v="2250"/>
  </r>
  <r>
    <d v="2024-07-07T05:19:54"/>
    <x v="1"/>
    <n v="3"/>
    <n v="450"/>
    <x v="2"/>
    <s v="C0421"/>
    <n v="1350"/>
  </r>
  <r>
    <d v="2024-07-07T17:01:10"/>
    <x v="5"/>
    <n v="3"/>
    <n v="1200"/>
    <x v="1"/>
    <s v="C0017"/>
    <n v="3600"/>
  </r>
  <r>
    <d v="2024-07-08T04:42:26"/>
    <x v="0"/>
    <n v="4"/>
    <n v="1800"/>
    <x v="3"/>
    <s v="C0039"/>
    <n v="7200"/>
  </r>
  <r>
    <d v="2024-07-08T16:23:42"/>
    <x v="4"/>
    <n v="6"/>
    <n v="1200"/>
    <x v="2"/>
    <s v="C0304"/>
    <n v="7200"/>
  </r>
  <r>
    <d v="2024-07-09T04:04:58"/>
    <x v="2"/>
    <n v="6"/>
    <n v="1200"/>
    <x v="2"/>
    <s v="C0430"/>
    <n v="7200"/>
  </r>
  <r>
    <d v="2024-07-09T15:46:14"/>
    <x v="0"/>
    <n v="5"/>
    <n v="450"/>
    <x v="3"/>
    <s v="C0474"/>
    <n v="2250"/>
  </r>
  <r>
    <d v="2024-07-10T03:27:30"/>
    <x v="1"/>
    <n v="5"/>
    <n v="1200"/>
    <x v="0"/>
    <s v="C0432"/>
    <n v="6000"/>
  </r>
  <r>
    <d v="2024-07-10T15:08:46"/>
    <x v="4"/>
    <n v="6"/>
    <n v="450"/>
    <x v="2"/>
    <s v="C0039"/>
    <n v="2700"/>
  </r>
  <r>
    <d v="2024-07-11T02:50:02"/>
    <x v="5"/>
    <n v="5"/>
    <n v="150"/>
    <x v="1"/>
    <s v="C0489"/>
    <n v="750"/>
  </r>
  <r>
    <d v="2024-07-11T14:31:18"/>
    <x v="5"/>
    <n v="6"/>
    <n v="1800"/>
    <x v="2"/>
    <s v="C0132"/>
    <n v="10800"/>
  </r>
  <r>
    <d v="2024-07-12T02:12:34"/>
    <x v="1"/>
    <n v="2"/>
    <n v="1200"/>
    <x v="1"/>
    <s v="C0030"/>
    <n v="2400"/>
  </r>
  <r>
    <d v="2024-07-12T13:53:50"/>
    <x v="1"/>
    <n v="6"/>
    <n v="450"/>
    <x v="1"/>
    <s v="C0158"/>
    <n v="2700"/>
  </r>
  <r>
    <d v="2024-07-13T01:35:06"/>
    <x v="2"/>
    <n v="3"/>
    <n v="700"/>
    <x v="2"/>
    <s v="C0278"/>
    <n v="2100"/>
  </r>
  <r>
    <d v="2024-07-13T13:16:22"/>
    <x v="5"/>
    <n v="5"/>
    <n v="1200"/>
    <x v="2"/>
    <s v="C0203"/>
    <n v="6000"/>
  </r>
  <r>
    <d v="2024-07-14T00:57:38"/>
    <x v="4"/>
    <n v="6"/>
    <n v="3500"/>
    <x v="1"/>
    <s v="C0066"/>
    <n v="21000"/>
  </r>
  <r>
    <d v="2024-07-14T12:38:54"/>
    <x v="0"/>
    <n v="6"/>
    <n v="150"/>
    <x v="3"/>
    <s v="C0108"/>
    <n v="900"/>
  </r>
  <r>
    <d v="2024-07-15T00:20:10"/>
    <x v="4"/>
    <n v="5"/>
    <n v="150"/>
    <x v="3"/>
    <s v="C0268"/>
    <n v="750"/>
  </r>
  <r>
    <d v="2024-07-15T12:01:26"/>
    <x v="3"/>
    <n v="2"/>
    <n v="700"/>
    <x v="2"/>
    <s v="C0222"/>
    <n v="1400"/>
  </r>
  <r>
    <d v="2024-07-15T23:42:43"/>
    <x v="3"/>
    <n v="2"/>
    <n v="450"/>
    <x v="0"/>
    <s v="C0292"/>
    <n v="900"/>
  </r>
  <r>
    <d v="2024-07-16T11:23:59"/>
    <x v="1"/>
    <n v="5"/>
    <n v="1200"/>
    <x v="3"/>
    <s v="C0018"/>
    <n v="6000"/>
  </r>
  <r>
    <d v="2024-07-16T23:05:15"/>
    <x v="2"/>
    <n v="1"/>
    <n v="450"/>
    <x v="2"/>
    <s v="C0090"/>
    <n v="450"/>
  </r>
  <r>
    <d v="2024-07-17T10:46:31"/>
    <x v="3"/>
    <n v="5"/>
    <n v="150"/>
    <x v="3"/>
    <s v="C0181"/>
    <n v="750"/>
  </r>
  <r>
    <d v="2024-07-17T22:27:47"/>
    <x v="5"/>
    <n v="5"/>
    <n v="450"/>
    <x v="0"/>
    <s v="C0255"/>
    <n v="2250"/>
  </r>
  <r>
    <d v="2024-07-18T10:09:03"/>
    <x v="4"/>
    <n v="2"/>
    <n v="150"/>
    <x v="2"/>
    <s v="C0455"/>
    <n v="300"/>
  </r>
  <r>
    <d v="2024-07-18T21:50:19"/>
    <x v="4"/>
    <n v="2"/>
    <n v="450"/>
    <x v="0"/>
    <s v="C0253"/>
    <n v="900"/>
  </r>
  <r>
    <d v="2024-07-19T09:31:35"/>
    <x v="1"/>
    <n v="5"/>
    <n v="700"/>
    <x v="2"/>
    <s v="C0257"/>
    <n v="3500"/>
  </r>
  <r>
    <d v="2024-07-19T21:12:51"/>
    <x v="0"/>
    <n v="5"/>
    <n v="1800"/>
    <x v="0"/>
    <s v="C0383"/>
    <n v="9000"/>
  </r>
  <r>
    <d v="2024-07-20T08:54:07"/>
    <x v="1"/>
    <n v="5"/>
    <n v="700"/>
    <x v="3"/>
    <s v="C0442"/>
    <n v="3500"/>
  </r>
  <r>
    <d v="2024-07-20T20:35:23"/>
    <x v="0"/>
    <n v="2"/>
    <n v="700"/>
    <x v="3"/>
    <s v="C0346"/>
    <n v="1400"/>
  </r>
  <r>
    <d v="2024-07-21T08:16:39"/>
    <x v="1"/>
    <n v="5"/>
    <n v="1800"/>
    <x v="0"/>
    <s v="C0087"/>
    <n v="9000"/>
  </r>
  <r>
    <d v="2024-07-21T19:57:55"/>
    <x v="1"/>
    <n v="5"/>
    <n v="1800"/>
    <x v="0"/>
    <s v="C0090"/>
    <n v="9000"/>
  </r>
  <r>
    <d v="2024-07-22T07:39:11"/>
    <x v="1"/>
    <n v="4"/>
    <n v="1200"/>
    <x v="0"/>
    <s v="C0237"/>
    <n v="4800"/>
  </r>
  <r>
    <d v="2024-07-22T19:20:27"/>
    <x v="0"/>
    <n v="1"/>
    <n v="1200"/>
    <x v="2"/>
    <s v="C0390"/>
    <n v="1200"/>
  </r>
  <r>
    <d v="2024-07-23T07:01:43"/>
    <x v="0"/>
    <n v="3"/>
    <n v="700"/>
    <x v="3"/>
    <s v="C0070"/>
    <n v="2100"/>
  </r>
  <r>
    <d v="2024-07-23T18:42:59"/>
    <x v="1"/>
    <n v="1"/>
    <n v="700"/>
    <x v="2"/>
    <s v="C0044"/>
    <n v="700"/>
  </r>
  <r>
    <d v="2024-07-24T06:24:15"/>
    <x v="3"/>
    <n v="4"/>
    <n v="150"/>
    <x v="3"/>
    <s v="C0200"/>
    <n v="600"/>
  </r>
  <r>
    <d v="2024-07-24T18:05:31"/>
    <x v="2"/>
    <n v="3"/>
    <n v="150"/>
    <x v="1"/>
    <s v="C0152"/>
    <n v="450"/>
  </r>
  <r>
    <d v="2024-07-25T05:46:47"/>
    <x v="2"/>
    <n v="5"/>
    <n v="1200"/>
    <x v="2"/>
    <s v="C0086"/>
    <n v="6000"/>
  </r>
  <r>
    <d v="2024-07-25T17:28:04"/>
    <x v="2"/>
    <n v="4"/>
    <n v="3500"/>
    <x v="3"/>
    <s v="C0019"/>
    <n v="14000"/>
  </r>
  <r>
    <d v="2024-07-26T05:09:20"/>
    <x v="0"/>
    <n v="5"/>
    <n v="3500"/>
    <x v="3"/>
    <s v="C0101"/>
    <n v="17500"/>
  </r>
  <r>
    <d v="2024-07-26T16:50:36"/>
    <x v="0"/>
    <n v="2"/>
    <n v="1200"/>
    <x v="2"/>
    <s v="C0402"/>
    <n v="2400"/>
  </r>
  <r>
    <d v="2024-07-27T04:31:52"/>
    <x v="3"/>
    <n v="6"/>
    <n v="150"/>
    <x v="2"/>
    <s v="C0095"/>
    <n v="900"/>
  </r>
  <r>
    <d v="2024-07-27T16:13:08"/>
    <x v="2"/>
    <n v="4"/>
    <n v="150"/>
    <x v="3"/>
    <s v="C0254"/>
    <n v="600"/>
  </r>
  <r>
    <d v="2024-07-28T03:54:24"/>
    <x v="2"/>
    <n v="2"/>
    <n v="3500"/>
    <x v="2"/>
    <s v="C0357"/>
    <n v="7000"/>
  </r>
  <r>
    <d v="2024-07-28T15:35:40"/>
    <x v="1"/>
    <n v="4"/>
    <n v="450"/>
    <x v="0"/>
    <s v="C0030"/>
    <n v="1800"/>
  </r>
  <r>
    <d v="2024-07-29T03:16:56"/>
    <x v="0"/>
    <n v="4"/>
    <n v="450"/>
    <x v="2"/>
    <s v="C0249"/>
    <n v="1800"/>
  </r>
  <r>
    <d v="2024-07-29T14:58:12"/>
    <x v="2"/>
    <n v="2"/>
    <n v="150"/>
    <x v="2"/>
    <s v="C0426"/>
    <n v="300"/>
  </r>
  <r>
    <d v="2024-07-30T02:39:28"/>
    <x v="4"/>
    <n v="3"/>
    <n v="450"/>
    <x v="2"/>
    <s v="C0033"/>
    <n v="1350"/>
  </r>
  <r>
    <d v="2024-07-30T14:20:44"/>
    <x v="3"/>
    <n v="1"/>
    <n v="1800"/>
    <x v="3"/>
    <s v="C0458"/>
    <n v="1800"/>
  </r>
  <r>
    <d v="2024-07-31T02:02:00"/>
    <x v="4"/>
    <n v="5"/>
    <n v="1200"/>
    <x v="0"/>
    <s v="C0229"/>
    <n v="6000"/>
  </r>
  <r>
    <d v="2024-07-31T13:43:16"/>
    <x v="4"/>
    <n v="4"/>
    <n v="1200"/>
    <x v="1"/>
    <s v="C0012"/>
    <n v="4800"/>
  </r>
  <r>
    <d v="2024-08-01T01:24:32"/>
    <x v="3"/>
    <n v="5"/>
    <n v="150"/>
    <x v="1"/>
    <s v="C0118"/>
    <n v="750"/>
  </r>
  <r>
    <d v="2024-08-01T13:05:48"/>
    <x v="4"/>
    <n v="6"/>
    <n v="700"/>
    <x v="0"/>
    <s v="C0350"/>
    <n v="4200"/>
  </r>
  <r>
    <d v="2024-08-02T00:47:04"/>
    <x v="2"/>
    <n v="2"/>
    <n v="3500"/>
    <x v="0"/>
    <s v="C0155"/>
    <n v="7000"/>
  </r>
  <r>
    <d v="2024-08-02T12:28:20"/>
    <x v="0"/>
    <n v="5"/>
    <n v="150"/>
    <x v="0"/>
    <s v="C0423"/>
    <n v="750"/>
  </r>
  <r>
    <d v="2024-08-03T00:09:36"/>
    <x v="3"/>
    <n v="2"/>
    <n v="450"/>
    <x v="3"/>
    <s v="C0393"/>
    <n v="900"/>
  </r>
  <r>
    <d v="2024-08-03T11:50:52"/>
    <x v="1"/>
    <n v="5"/>
    <n v="3500"/>
    <x v="1"/>
    <s v="C0246"/>
    <n v="17500"/>
  </r>
  <r>
    <d v="2024-08-03T23:32:08"/>
    <x v="4"/>
    <n v="1"/>
    <n v="700"/>
    <x v="0"/>
    <s v="C0405"/>
    <n v="700"/>
  </r>
  <r>
    <d v="2024-08-04T11:13:25"/>
    <x v="3"/>
    <n v="1"/>
    <n v="450"/>
    <x v="3"/>
    <s v="C0332"/>
    <n v="450"/>
  </r>
  <r>
    <d v="2024-08-04T22:54:41"/>
    <x v="5"/>
    <n v="1"/>
    <n v="1800"/>
    <x v="1"/>
    <s v="C0247"/>
    <n v="1800"/>
  </r>
  <r>
    <d v="2024-08-05T10:35:57"/>
    <x v="5"/>
    <n v="1"/>
    <n v="450"/>
    <x v="2"/>
    <s v="C0029"/>
    <n v="450"/>
  </r>
  <r>
    <d v="2024-08-05T22:17:13"/>
    <x v="0"/>
    <n v="1"/>
    <n v="1800"/>
    <x v="3"/>
    <s v="C0161"/>
    <n v="1800"/>
  </r>
  <r>
    <d v="2024-08-06T09:58:29"/>
    <x v="2"/>
    <n v="1"/>
    <n v="3500"/>
    <x v="1"/>
    <s v="C0235"/>
    <n v="3500"/>
  </r>
  <r>
    <d v="2024-08-06T21:39:45"/>
    <x v="0"/>
    <n v="2"/>
    <n v="1800"/>
    <x v="3"/>
    <s v="C0190"/>
    <n v="3600"/>
  </r>
  <r>
    <d v="2024-08-07T09:21:01"/>
    <x v="0"/>
    <n v="4"/>
    <n v="3500"/>
    <x v="1"/>
    <s v="C0117"/>
    <n v="14000"/>
  </r>
  <r>
    <d v="2024-08-07T21:02:17"/>
    <x v="0"/>
    <n v="5"/>
    <n v="3500"/>
    <x v="1"/>
    <s v="C0271"/>
    <n v="17500"/>
  </r>
  <r>
    <d v="2024-08-08T08:43:33"/>
    <x v="0"/>
    <n v="1"/>
    <n v="3500"/>
    <x v="2"/>
    <s v="C0258"/>
    <n v="3500"/>
  </r>
  <r>
    <d v="2024-08-08T20:24:49"/>
    <x v="1"/>
    <n v="2"/>
    <n v="3500"/>
    <x v="3"/>
    <s v="C0180"/>
    <n v="7000"/>
  </r>
  <r>
    <d v="2024-08-09T08:06:05"/>
    <x v="1"/>
    <n v="2"/>
    <n v="3500"/>
    <x v="0"/>
    <s v="C0487"/>
    <n v="7000"/>
  </r>
  <r>
    <d v="2024-08-09T19:47:21"/>
    <x v="3"/>
    <n v="2"/>
    <n v="450"/>
    <x v="2"/>
    <s v="C0373"/>
    <n v="900"/>
  </r>
  <r>
    <d v="2024-08-10T07:28:37"/>
    <x v="5"/>
    <n v="4"/>
    <n v="3500"/>
    <x v="2"/>
    <s v="C0172"/>
    <n v="14000"/>
  </r>
  <r>
    <d v="2024-08-10T19:09:53"/>
    <x v="0"/>
    <n v="5"/>
    <n v="450"/>
    <x v="1"/>
    <s v="C0438"/>
    <n v="2250"/>
  </r>
  <r>
    <d v="2024-08-11T06:51:09"/>
    <x v="3"/>
    <n v="4"/>
    <n v="3500"/>
    <x v="0"/>
    <s v="C0274"/>
    <n v="14000"/>
  </r>
  <r>
    <d v="2024-08-11T18:32:25"/>
    <x v="5"/>
    <n v="3"/>
    <n v="1800"/>
    <x v="3"/>
    <s v="C0259"/>
    <n v="5400"/>
  </r>
  <r>
    <d v="2024-08-12T06:13:41"/>
    <x v="4"/>
    <n v="2"/>
    <n v="3500"/>
    <x v="0"/>
    <s v="C0135"/>
    <n v="7000"/>
  </r>
  <r>
    <d v="2024-08-12T17:54:57"/>
    <x v="2"/>
    <n v="3"/>
    <n v="700"/>
    <x v="0"/>
    <s v="C0171"/>
    <n v="2100"/>
  </r>
  <r>
    <d v="2024-08-13T05:36:13"/>
    <x v="1"/>
    <n v="6"/>
    <n v="3500"/>
    <x v="0"/>
    <s v="C0210"/>
    <n v="21000"/>
  </r>
  <r>
    <d v="2024-08-13T17:17:29"/>
    <x v="4"/>
    <n v="1"/>
    <n v="3500"/>
    <x v="0"/>
    <s v="C0236"/>
    <n v="3500"/>
  </r>
  <r>
    <d v="2024-08-14T04:58:46"/>
    <x v="5"/>
    <n v="1"/>
    <n v="1800"/>
    <x v="0"/>
    <s v="C0422"/>
    <n v="1800"/>
  </r>
  <r>
    <d v="2024-08-14T16:40:02"/>
    <x v="4"/>
    <n v="4"/>
    <n v="1200"/>
    <x v="1"/>
    <s v="C0421"/>
    <n v="4800"/>
  </r>
  <r>
    <d v="2024-08-15T04:21:18"/>
    <x v="2"/>
    <n v="5"/>
    <n v="1800"/>
    <x v="1"/>
    <s v="C0186"/>
    <n v="9000"/>
  </r>
  <r>
    <d v="2024-08-15T16:02:34"/>
    <x v="5"/>
    <n v="3"/>
    <n v="700"/>
    <x v="2"/>
    <s v="C0417"/>
    <n v="2100"/>
  </r>
  <r>
    <d v="2024-08-16T03:43:50"/>
    <x v="4"/>
    <n v="5"/>
    <n v="1200"/>
    <x v="1"/>
    <s v="C0364"/>
    <n v="6000"/>
  </r>
  <r>
    <d v="2024-08-16T15:25:06"/>
    <x v="1"/>
    <n v="4"/>
    <n v="150"/>
    <x v="2"/>
    <s v="C0443"/>
    <n v="600"/>
  </r>
  <r>
    <d v="2024-08-17T03:06:22"/>
    <x v="1"/>
    <n v="1"/>
    <n v="150"/>
    <x v="2"/>
    <s v="C0095"/>
    <n v="150"/>
  </r>
  <r>
    <d v="2024-08-17T14:47:38"/>
    <x v="3"/>
    <n v="5"/>
    <n v="700"/>
    <x v="3"/>
    <s v="C0378"/>
    <n v="3500"/>
  </r>
  <r>
    <d v="2024-08-18T02:28:54"/>
    <x v="4"/>
    <n v="5"/>
    <n v="1800"/>
    <x v="0"/>
    <s v="C0011"/>
    <n v="9000"/>
  </r>
  <r>
    <d v="2024-08-18T14:10:10"/>
    <x v="0"/>
    <n v="1"/>
    <n v="450"/>
    <x v="1"/>
    <s v="C0068"/>
    <n v="450"/>
  </r>
  <r>
    <d v="2024-08-19T01:51:26"/>
    <x v="4"/>
    <n v="3"/>
    <n v="700"/>
    <x v="3"/>
    <s v="C0379"/>
    <n v="2100"/>
  </r>
  <r>
    <d v="2024-08-19T13:32:42"/>
    <x v="5"/>
    <n v="1"/>
    <n v="1200"/>
    <x v="1"/>
    <s v="C0210"/>
    <n v="1200"/>
  </r>
  <r>
    <d v="2024-08-20T01:13:58"/>
    <x v="5"/>
    <n v="5"/>
    <n v="1200"/>
    <x v="2"/>
    <s v="C0196"/>
    <n v="6000"/>
  </r>
  <r>
    <d v="2024-08-20T12:55:14"/>
    <x v="4"/>
    <n v="3"/>
    <n v="3500"/>
    <x v="1"/>
    <s v="C0369"/>
    <n v="10500"/>
  </r>
  <r>
    <d v="2024-08-21T00:36:30"/>
    <x v="2"/>
    <n v="3"/>
    <n v="150"/>
    <x v="0"/>
    <s v="C0098"/>
    <n v="450"/>
  </r>
  <r>
    <d v="2024-08-21T12:17:46"/>
    <x v="1"/>
    <n v="1"/>
    <n v="1200"/>
    <x v="2"/>
    <s v="C0093"/>
    <n v="1200"/>
  </r>
  <r>
    <d v="2024-08-21T23:59:02"/>
    <x v="5"/>
    <n v="5"/>
    <n v="700"/>
    <x v="2"/>
    <s v="C0472"/>
    <n v="3500"/>
  </r>
  <r>
    <d v="2024-08-22T11:40:18"/>
    <x v="1"/>
    <n v="4"/>
    <n v="1200"/>
    <x v="3"/>
    <s v="C0022"/>
    <n v="4800"/>
  </r>
  <r>
    <d v="2024-08-22T23:21:34"/>
    <x v="5"/>
    <n v="5"/>
    <n v="700"/>
    <x v="0"/>
    <s v="C0450"/>
    <n v="3500"/>
  </r>
  <r>
    <d v="2024-08-23T11:02:51"/>
    <x v="3"/>
    <n v="2"/>
    <n v="450"/>
    <x v="2"/>
    <s v="C0172"/>
    <n v="900"/>
  </r>
  <r>
    <d v="2024-08-23T22:44:07"/>
    <x v="0"/>
    <n v="6"/>
    <n v="3500"/>
    <x v="0"/>
    <s v="C0383"/>
    <n v="21000"/>
  </r>
  <r>
    <d v="2024-08-24T10:25:23"/>
    <x v="5"/>
    <n v="4"/>
    <n v="150"/>
    <x v="1"/>
    <s v="C0134"/>
    <n v="600"/>
  </r>
  <r>
    <d v="2024-08-24T22:06:39"/>
    <x v="1"/>
    <n v="3"/>
    <n v="1200"/>
    <x v="0"/>
    <s v="C0426"/>
    <n v="3600"/>
  </r>
  <r>
    <d v="2024-08-25T09:47:55"/>
    <x v="3"/>
    <n v="4"/>
    <n v="700"/>
    <x v="2"/>
    <s v="C0025"/>
    <n v="2800"/>
  </r>
  <r>
    <d v="2024-08-25T21:29:11"/>
    <x v="5"/>
    <n v="3"/>
    <n v="1800"/>
    <x v="3"/>
    <s v="C0185"/>
    <n v="5400"/>
  </r>
  <r>
    <d v="2024-08-26T09:10:27"/>
    <x v="2"/>
    <n v="3"/>
    <n v="150"/>
    <x v="2"/>
    <s v="C0085"/>
    <n v="450"/>
  </r>
  <r>
    <d v="2024-08-26T20:51:43"/>
    <x v="0"/>
    <n v="4"/>
    <n v="450"/>
    <x v="0"/>
    <s v="C0055"/>
    <n v="1800"/>
  </r>
  <r>
    <d v="2024-08-27T08:32:59"/>
    <x v="5"/>
    <n v="3"/>
    <n v="700"/>
    <x v="0"/>
    <s v="C0251"/>
    <n v="2100"/>
  </r>
  <r>
    <d v="2024-08-27T20:14:15"/>
    <x v="3"/>
    <n v="3"/>
    <n v="3500"/>
    <x v="2"/>
    <s v="C0144"/>
    <n v="10500"/>
  </r>
  <r>
    <d v="2024-08-28T07:55:31"/>
    <x v="2"/>
    <n v="2"/>
    <n v="3500"/>
    <x v="0"/>
    <s v="C0351"/>
    <n v="7000"/>
  </r>
  <r>
    <d v="2024-08-28T19:36:47"/>
    <x v="4"/>
    <n v="5"/>
    <n v="450"/>
    <x v="1"/>
    <s v="C0398"/>
    <n v="2250"/>
  </r>
  <r>
    <d v="2024-08-29T07:18:03"/>
    <x v="3"/>
    <n v="5"/>
    <n v="450"/>
    <x v="2"/>
    <s v="C0167"/>
    <n v="2250"/>
  </r>
  <r>
    <d v="2024-08-29T18:59:19"/>
    <x v="3"/>
    <n v="6"/>
    <n v="3500"/>
    <x v="3"/>
    <s v="C0412"/>
    <n v="21000"/>
  </r>
  <r>
    <d v="2024-08-30T06:40:35"/>
    <x v="2"/>
    <n v="6"/>
    <n v="1200"/>
    <x v="2"/>
    <s v="C0224"/>
    <n v="7200"/>
  </r>
  <r>
    <d v="2024-08-30T18:21:51"/>
    <x v="3"/>
    <n v="2"/>
    <n v="1200"/>
    <x v="1"/>
    <s v="C0220"/>
    <n v="2400"/>
  </r>
  <r>
    <d v="2024-08-31T06:03:07"/>
    <x v="2"/>
    <n v="6"/>
    <n v="700"/>
    <x v="1"/>
    <s v="C0179"/>
    <n v="4200"/>
  </r>
  <r>
    <d v="2024-08-31T17:44:23"/>
    <x v="5"/>
    <n v="4"/>
    <n v="1800"/>
    <x v="1"/>
    <s v="C0119"/>
    <n v="7200"/>
  </r>
  <r>
    <d v="2024-09-01T05:25:39"/>
    <x v="2"/>
    <n v="1"/>
    <n v="700"/>
    <x v="1"/>
    <s v="C0433"/>
    <n v="700"/>
  </r>
  <r>
    <d v="2024-09-01T17:06:55"/>
    <x v="2"/>
    <n v="1"/>
    <n v="1800"/>
    <x v="1"/>
    <s v="C0265"/>
    <n v="1800"/>
  </r>
  <r>
    <d v="2024-09-02T04:48:12"/>
    <x v="0"/>
    <n v="1"/>
    <n v="450"/>
    <x v="3"/>
    <s v="C0442"/>
    <n v="450"/>
  </r>
  <r>
    <d v="2024-09-02T16:29:28"/>
    <x v="2"/>
    <n v="2"/>
    <n v="150"/>
    <x v="0"/>
    <s v="C0429"/>
    <n v="300"/>
  </r>
  <r>
    <d v="2024-09-03T04:10:44"/>
    <x v="2"/>
    <n v="2"/>
    <n v="700"/>
    <x v="1"/>
    <s v="C0150"/>
    <n v="1400"/>
  </r>
  <r>
    <d v="2024-09-03T15:52:00"/>
    <x v="4"/>
    <n v="3"/>
    <n v="700"/>
    <x v="1"/>
    <s v="C0416"/>
    <n v="2100"/>
  </r>
  <r>
    <d v="2024-09-04T03:33:16"/>
    <x v="5"/>
    <n v="1"/>
    <n v="1800"/>
    <x v="2"/>
    <s v="C0453"/>
    <n v="1800"/>
  </r>
  <r>
    <d v="2024-09-04T15:14:32"/>
    <x v="0"/>
    <n v="4"/>
    <n v="450"/>
    <x v="3"/>
    <s v="C0215"/>
    <n v="1800"/>
  </r>
  <r>
    <d v="2024-09-05T02:55:48"/>
    <x v="4"/>
    <n v="6"/>
    <n v="450"/>
    <x v="3"/>
    <s v="C0197"/>
    <n v="2700"/>
  </r>
  <r>
    <d v="2024-09-05T14:37:04"/>
    <x v="1"/>
    <n v="4"/>
    <n v="1800"/>
    <x v="0"/>
    <s v="C0042"/>
    <n v="7200"/>
  </r>
  <r>
    <d v="2024-09-06T02:18:20"/>
    <x v="5"/>
    <n v="6"/>
    <n v="450"/>
    <x v="3"/>
    <s v="C0053"/>
    <n v="2700"/>
  </r>
  <r>
    <d v="2024-09-06T13:59:36"/>
    <x v="5"/>
    <n v="1"/>
    <n v="3500"/>
    <x v="2"/>
    <s v="C0480"/>
    <n v="3500"/>
  </r>
  <r>
    <d v="2024-09-07T01:40:52"/>
    <x v="1"/>
    <n v="1"/>
    <n v="1200"/>
    <x v="2"/>
    <s v="C0443"/>
    <n v="1200"/>
  </r>
  <r>
    <d v="2024-09-07T13:22:08"/>
    <x v="2"/>
    <n v="1"/>
    <n v="3500"/>
    <x v="0"/>
    <s v="C0330"/>
    <n v="3500"/>
  </r>
  <r>
    <d v="2024-09-08T01:03:24"/>
    <x v="4"/>
    <n v="2"/>
    <n v="150"/>
    <x v="2"/>
    <s v="C0251"/>
    <n v="300"/>
  </r>
  <r>
    <d v="2024-09-08T12:44:40"/>
    <x v="3"/>
    <n v="6"/>
    <n v="700"/>
    <x v="1"/>
    <s v="C0295"/>
    <n v="4200"/>
  </r>
  <r>
    <d v="2024-09-09T00:25:56"/>
    <x v="0"/>
    <n v="2"/>
    <n v="150"/>
    <x v="1"/>
    <s v="C0378"/>
    <n v="300"/>
  </r>
  <r>
    <d v="2024-09-09T12:07:12"/>
    <x v="3"/>
    <n v="2"/>
    <n v="700"/>
    <x v="2"/>
    <s v="C0271"/>
    <n v="1400"/>
  </r>
  <r>
    <d v="2024-09-09T23:48:28"/>
    <x v="1"/>
    <n v="5"/>
    <n v="1200"/>
    <x v="0"/>
    <s v="C0455"/>
    <n v="6000"/>
  </r>
  <r>
    <d v="2024-09-10T11:29:44"/>
    <x v="5"/>
    <n v="4"/>
    <n v="450"/>
    <x v="3"/>
    <s v="C0413"/>
    <n v="1800"/>
  </r>
  <r>
    <d v="2024-09-10T23:11:00"/>
    <x v="5"/>
    <n v="4"/>
    <n v="3500"/>
    <x v="0"/>
    <s v="C0123"/>
    <n v="14000"/>
  </r>
  <r>
    <d v="2024-09-11T10:52:16"/>
    <x v="0"/>
    <n v="3"/>
    <n v="1800"/>
    <x v="3"/>
    <s v="C0367"/>
    <n v="5400"/>
  </r>
  <r>
    <d v="2024-09-11T22:33:33"/>
    <x v="5"/>
    <n v="2"/>
    <n v="3500"/>
    <x v="2"/>
    <s v="C0387"/>
    <n v="7000"/>
  </r>
  <r>
    <d v="2024-09-12T10:14:49"/>
    <x v="5"/>
    <n v="6"/>
    <n v="1200"/>
    <x v="2"/>
    <s v="C0339"/>
    <n v="7200"/>
  </r>
  <r>
    <d v="2024-09-12T21:56:05"/>
    <x v="0"/>
    <n v="5"/>
    <n v="150"/>
    <x v="1"/>
    <s v="C0266"/>
    <n v="750"/>
  </r>
  <r>
    <d v="2024-09-13T09:37:21"/>
    <x v="4"/>
    <n v="5"/>
    <n v="1800"/>
    <x v="3"/>
    <s v="C0348"/>
    <n v="9000"/>
  </r>
  <r>
    <d v="2024-09-13T21:18:37"/>
    <x v="4"/>
    <n v="4"/>
    <n v="450"/>
    <x v="0"/>
    <s v="C0029"/>
    <n v="1800"/>
  </r>
  <r>
    <d v="2024-09-14T08:59:53"/>
    <x v="0"/>
    <n v="2"/>
    <n v="1200"/>
    <x v="2"/>
    <s v="C0463"/>
    <n v="2400"/>
  </r>
  <r>
    <d v="2024-09-14T20:41:09"/>
    <x v="1"/>
    <n v="3"/>
    <n v="1800"/>
    <x v="0"/>
    <s v="C0035"/>
    <n v="5400"/>
  </r>
  <r>
    <d v="2024-09-15T08:22:25"/>
    <x v="5"/>
    <n v="2"/>
    <n v="1200"/>
    <x v="1"/>
    <s v="C0006"/>
    <n v="2400"/>
  </r>
  <r>
    <d v="2024-09-15T20:03:41"/>
    <x v="5"/>
    <n v="1"/>
    <n v="1200"/>
    <x v="3"/>
    <s v="C0396"/>
    <n v="1200"/>
  </r>
  <r>
    <d v="2024-09-16T07:44:57"/>
    <x v="1"/>
    <n v="2"/>
    <n v="450"/>
    <x v="3"/>
    <s v="C0111"/>
    <n v="900"/>
  </r>
  <r>
    <d v="2024-09-16T19:26:13"/>
    <x v="4"/>
    <n v="1"/>
    <n v="700"/>
    <x v="2"/>
    <s v="C0294"/>
    <n v="700"/>
  </r>
  <r>
    <d v="2024-09-17T07:07:29"/>
    <x v="2"/>
    <n v="1"/>
    <n v="1800"/>
    <x v="3"/>
    <s v="C0077"/>
    <n v="1800"/>
  </r>
  <r>
    <d v="2024-09-17T18:48:45"/>
    <x v="2"/>
    <n v="3"/>
    <n v="450"/>
    <x v="2"/>
    <s v="C0349"/>
    <n v="1350"/>
  </r>
  <r>
    <d v="2024-09-18T06:30:01"/>
    <x v="2"/>
    <n v="6"/>
    <n v="1200"/>
    <x v="1"/>
    <s v="C0147"/>
    <n v="7200"/>
  </r>
  <r>
    <d v="2024-09-18T18:11:17"/>
    <x v="4"/>
    <n v="4"/>
    <n v="450"/>
    <x v="3"/>
    <s v="C0067"/>
    <n v="1800"/>
  </r>
  <r>
    <d v="2024-09-19T05:52:33"/>
    <x v="4"/>
    <n v="2"/>
    <n v="700"/>
    <x v="2"/>
    <s v="C0392"/>
    <n v="1400"/>
  </r>
  <r>
    <d v="2024-09-19T17:33:49"/>
    <x v="1"/>
    <n v="1"/>
    <n v="3500"/>
    <x v="0"/>
    <s v="C0008"/>
    <n v="3500"/>
  </r>
  <r>
    <d v="2024-09-20T05:15:05"/>
    <x v="5"/>
    <n v="2"/>
    <n v="1800"/>
    <x v="2"/>
    <s v="C0122"/>
    <n v="3600"/>
  </r>
  <r>
    <d v="2024-09-20T16:56:21"/>
    <x v="1"/>
    <n v="6"/>
    <n v="700"/>
    <x v="3"/>
    <s v="C0340"/>
    <n v="4200"/>
  </r>
  <r>
    <d v="2024-09-21T04:37:38"/>
    <x v="1"/>
    <n v="4"/>
    <n v="150"/>
    <x v="1"/>
    <s v="C0175"/>
    <n v="600"/>
  </r>
  <r>
    <d v="2024-09-21T16:18:54"/>
    <x v="4"/>
    <n v="6"/>
    <n v="1800"/>
    <x v="3"/>
    <s v="C0388"/>
    <n v="10800"/>
  </r>
  <r>
    <d v="2024-09-22T04:00:10"/>
    <x v="2"/>
    <n v="4"/>
    <n v="700"/>
    <x v="3"/>
    <s v="C0179"/>
    <n v="2800"/>
  </r>
  <r>
    <d v="2024-09-22T15:41:26"/>
    <x v="3"/>
    <n v="5"/>
    <n v="1200"/>
    <x v="2"/>
    <s v="C0085"/>
    <n v="6000"/>
  </r>
  <r>
    <d v="2024-09-23T03:22:42"/>
    <x v="5"/>
    <n v="4"/>
    <n v="1800"/>
    <x v="0"/>
    <s v="C0451"/>
    <n v="7200"/>
  </r>
  <r>
    <d v="2024-09-23T15:03:58"/>
    <x v="4"/>
    <n v="3"/>
    <n v="1800"/>
    <x v="3"/>
    <s v="C0045"/>
    <n v="5400"/>
  </r>
  <r>
    <d v="2024-09-24T02:45:14"/>
    <x v="2"/>
    <n v="6"/>
    <n v="450"/>
    <x v="0"/>
    <s v="C0136"/>
    <n v="2700"/>
  </r>
  <r>
    <d v="2024-09-24T14:26:30"/>
    <x v="3"/>
    <n v="1"/>
    <n v="1200"/>
    <x v="2"/>
    <s v="C0343"/>
    <n v="1200"/>
  </r>
  <r>
    <d v="2024-09-25T02:07:46"/>
    <x v="3"/>
    <n v="5"/>
    <n v="150"/>
    <x v="0"/>
    <s v="C0016"/>
    <n v="750"/>
  </r>
  <r>
    <d v="2024-09-25T13:49:02"/>
    <x v="4"/>
    <n v="3"/>
    <n v="3500"/>
    <x v="2"/>
    <s v="C0333"/>
    <n v="10500"/>
  </r>
  <r>
    <d v="2024-09-26T01:30:18"/>
    <x v="0"/>
    <n v="2"/>
    <n v="700"/>
    <x v="1"/>
    <s v="C0195"/>
    <n v="1400"/>
  </r>
  <r>
    <d v="2024-09-26T13:11:34"/>
    <x v="5"/>
    <n v="6"/>
    <n v="450"/>
    <x v="0"/>
    <s v="C0496"/>
    <n v="2700"/>
  </r>
  <r>
    <d v="2024-09-27T00:52:50"/>
    <x v="3"/>
    <n v="1"/>
    <n v="700"/>
    <x v="0"/>
    <s v="C0009"/>
    <n v="700"/>
  </r>
  <r>
    <d v="2024-09-27T12:34:06"/>
    <x v="4"/>
    <n v="4"/>
    <n v="150"/>
    <x v="1"/>
    <s v="C0316"/>
    <n v="600"/>
  </r>
  <r>
    <d v="2024-09-28T00:15:22"/>
    <x v="4"/>
    <n v="1"/>
    <n v="150"/>
    <x v="0"/>
    <s v="C0334"/>
    <n v="150"/>
  </r>
  <r>
    <d v="2024-09-28T11:56:38"/>
    <x v="2"/>
    <n v="2"/>
    <n v="1800"/>
    <x v="1"/>
    <s v="C0333"/>
    <n v="3600"/>
  </r>
  <r>
    <d v="2024-09-28T23:37:54"/>
    <x v="0"/>
    <n v="5"/>
    <n v="150"/>
    <x v="3"/>
    <s v="C0327"/>
    <n v="750"/>
  </r>
  <r>
    <d v="2024-09-29T11:19:10"/>
    <x v="5"/>
    <n v="5"/>
    <n v="700"/>
    <x v="2"/>
    <s v="C0015"/>
    <n v="3500"/>
  </r>
  <r>
    <d v="2024-09-29T23:00:26"/>
    <x v="1"/>
    <n v="6"/>
    <n v="1200"/>
    <x v="1"/>
    <s v="C0327"/>
    <n v="7200"/>
  </r>
  <r>
    <d v="2024-09-30T10:41:42"/>
    <x v="2"/>
    <n v="5"/>
    <n v="1200"/>
    <x v="0"/>
    <s v="C0102"/>
    <n v="6000"/>
  </r>
  <r>
    <d v="2024-09-30T22:22:59"/>
    <x v="3"/>
    <n v="6"/>
    <n v="1800"/>
    <x v="1"/>
    <s v="C0226"/>
    <n v="10800"/>
  </r>
  <r>
    <d v="2024-10-01T10:04:15"/>
    <x v="3"/>
    <n v="6"/>
    <n v="3500"/>
    <x v="0"/>
    <s v="C0425"/>
    <n v="21000"/>
  </r>
  <r>
    <d v="2024-10-01T21:45:31"/>
    <x v="2"/>
    <n v="6"/>
    <n v="700"/>
    <x v="3"/>
    <s v="C0278"/>
    <n v="4200"/>
  </r>
  <r>
    <d v="2024-10-02T09:26:47"/>
    <x v="4"/>
    <n v="4"/>
    <n v="700"/>
    <x v="1"/>
    <s v="C0408"/>
    <n v="2800"/>
  </r>
  <r>
    <d v="2024-10-02T21:08:03"/>
    <x v="3"/>
    <n v="3"/>
    <n v="150"/>
    <x v="3"/>
    <s v="C0113"/>
    <n v="450"/>
  </r>
  <r>
    <d v="2024-10-03T08:49:19"/>
    <x v="0"/>
    <n v="6"/>
    <n v="700"/>
    <x v="2"/>
    <s v="C0485"/>
    <n v="4200"/>
  </r>
  <r>
    <d v="2024-10-03T20:30:35"/>
    <x v="5"/>
    <n v="6"/>
    <n v="450"/>
    <x v="0"/>
    <s v="C0428"/>
    <n v="2700"/>
  </r>
  <r>
    <d v="2024-10-04T08:11:51"/>
    <x v="0"/>
    <n v="3"/>
    <n v="3500"/>
    <x v="0"/>
    <s v="C0001"/>
    <n v="10500"/>
  </r>
  <r>
    <d v="2024-10-04T19:53:07"/>
    <x v="3"/>
    <n v="1"/>
    <n v="150"/>
    <x v="3"/>
    <s v="C0266"/>
    <n v="150"/>
  </r>
  <r>
    <d v="2024-10-05T07:34:23"/>
    <x v="1"/>
    <n v="6"/>
    <n v="450"/>
    <x v="2"/>
    <s v="C0491"/>
    <n v="2700"/>
  </r>
  <r>
    <d v="2024-10-05T19:15:39"/>
    <x v="5"/>
    <n v="4"/>
    <n v="1800"/>
    <x v="1"/>
    <s v="C0208"/>
    <n v="7200"/>
  </r>
  <r>
    <d v="2024-10-06T06:56:55"/>
    <x v="5"/>
    <n v="5"/>
    <n v="1200"/>
    <x v="1"/>
    <s v="C0110"/>
    <n v="6000"/>
  </r>
  <r>
    <d v="2024-10-06T18:38:11"/>
    <x v="2"/>
    <n v="5"/>
    <n v="1800"/>
    <x v="0"/>
    <s v="C0200"/>
    <n v="9000"/>
  </r>
  <r>
    <d v="2024-10-07T06:19:27"/>
    <x v="2"/>
    <n v="2"/>
    <n v="1200"/>
    <x v="3"/>
    <s v="C0440"/>
    <n v="2400"/>
  </r>
  <r>
    <d v="2024-10-07T18:00:43"/>
    <x v="1"/>
    <n v="2"/>
    <n v="1800"/>
    <x v="3"/>
    <s v="C0369"/>
    <n v="3600"/>
  </r>
  <r>
    <d v="2024-10-08T05:41:59"/>
    <x v="4"/>
    <n v="5"/>
    <n v="700"/>
    <x v="1"/>
    <s v="C0473"/>
    <n v="3500"/>
  </r>
  <r>
    <d v="2024-10-08T17:23:15"/>
    <x v="5"/>
    <n v="5"/>
    <n v="450"/>
    <x v="2"/>
    <s v="C0306"/>
    <n v="2250"/>
  </r>
  <r>
    <d v="2024-10-09T05:04:31"/>
    <x v="1"/>
    <n v="4"/>
    <n v="1200"/>
    <x v="2"/>
    <s v="C0012"/>
    <n v="4800"/>
  </r>
  <r>
    <d v="2024-10-09T16:45:47"/>
    <x v="2"/>
    <n v="3"/>
    <n v="150"/>
    <x v="1"/>
    <s v="C0345"/>
    <n v="450"/>
  </r>
  <r>
    <d v="2024-10-10T04:27:03"/>
    <x v="2"/>
    <n v="2"/>
    <n v="450"/>
    <x v="1"/>
    <s v="C0465"/>
    <n v="900"/>
  </r>
  <r>
    <d v="2024-10-10T16:08:20"/>
    <x v="5"/>
    <n v="3"/>
    <n v="150"/>
    <x v="3"/>
    <s v="C0188"/>
    <n v="450"/>
  </r>
  <r>
    <d v="2024-10-11T03:49:36"/>
    <x v="0"/>
    <n v="4"/>
    <n v="450"/>
    <x v="2"/>
    <s v="C0154"/>
    <n v="1800"/>
  </r>
  <r>
    <d v="2024-10-11T15:30:52"/>
    <x v="3"/>
    <n v="5"/>
    <n v="450"/>
    <x v="1"/>
    <s v="C0494"/>
    <n v="2250"/>
  </r>
  <r>
    <d v="2024-10-12T03:12:08"/>
    <x v="2"/>
    <n v="6"/>
    <n v="1800"/>
    <x v="1"/>
    <s v="C0368"/>
    <n v="10800"/>
  </r>
  <r>
    <d v="2024-10-12T14:53:24"/>
    <x v="4"/>
    <n v="3"/>
    <n v="1200"/>
    <x v="0"/>
    <s v="C0334"/>
    <n v="3600"/>
  </r>
  <r>
    <d v="2024-10-13T02:34:40"/>
    <x v="4"/>
    <n v="5"/>
    <n v="1200"/>
    <x v="1"/>
    <s v="C0425"/>
    <n v="6000"/>
  </r>
  <r>
    <d v="2024-10-13T14:15:56"/>
    <x v="2"/>
    <n v="5"/>
    <n v="450"/>
    <x v="1"/>
    <s v="C0420"/>
    <n v="2250"/>
  </r>
  <r>
    <d v="2024-10-14T01:57:12"/>
    <x v="0"/>
    <n v="1"/>
    <n v="700"/>
    <x v="2"/>
    <s v="C0377"/>
    <n v="700"/>
  </r>
  <r>
    <d v="2024-10-14T13:38:28"/>
    <x v="0"/>
    <n v="3"/>
    <n v="700"/>
    <x v="3"/>
    <s v="C0279"/>
    <n v="2100"/>
  </r>
  <r>
    <d v="2024-10-15T01:19:44"/>
    <x v="1"/>
    <n v="6"/>
    <n v="150"/>
    <x v="2"/>
    <s v="C0171"/>
    <n v="900"/>
  </r>
  <r>
    <d v="2024-10-15T13:01:00"/>
    <x v="4"/>
    <n v="3"/>
    <n v="150"/>
    <x v="3"/>
    <s v="C0134"/>
    <n v="450"/>
  </r>
  <r>
    <d v="2024-10-16T00:42:16"/>
    <x v="1"/>
    <n v="5"/>
    <n v="1800"/>
    <x v="0"/>
    <s v="C0495"/>
    <n v="9000"/>
  </r>
  <r>
    <d v="2024-10-16T12:23:32"/>
    <x v="4"/>
    <n v="6"/>
    <n v="450"/>
    <x v="1"/>
    <s v="C0453"/>
    <n v="2700"/>
  </r>
  <r>
    <d v="2024-10-17T00:04:48"/>
    <x v="3"/>
    <n v="4"/>
    <n v="150"/>
    <x v="0"/>
    <s v="C0427"/>
    <n v="600"/>
  </r>
  <r>
    <d v="2024-10-17T11:46:04"/>
    <x v="3"/>
    <n v="1"/>
    <n v="150"/>
    <x v="3"/>
    <s v="C0025"/>
    <n v="150"/>
  </r>
  <r>
    <d v="2024-10-17T23:27:20"/>
    <x v="5"/>
    <n v="5"/>
    <n v="3500"/>
    <x v="2"/>
    <s v="C0018"/>
    <n v="17500"/>
  </r>
  <r>
    <d v="2024-10-18T11:08:36"/>
    <x v="1"/>
    <n v="2"/>
    <n v="450"/>
    <x v="2"/>
    <s v="C0190"/>
    <n v="900"/>
  </r>
  <r>
    <d v="2024-10-18T22:49:52"/>
    <x v="2"/>
    <n v="2"/>
    <n v="1800"/>
    <x v="0"/>
    <s v="C0141"/>
    <n v="3600"/>
  </r>
  <r>
    <d v="2024-10-19T10:31:08"/>
    <x v="1"/>
    <n v="1"/>
    <n v="150"/>
    <x v="3"/>
    <s v="C0043"/>
    <n v="150"/>
  </r>
  <r>
    <d v="2024-10-19T22:12:24"/>
    <x v="2"/>
    <n v="4"/>
    <n v="1800"/>
    <x v="0"/>
    <s v="C0334"/>
    <n v="7200"/>
  </r>
  <r>
    <d v="2024-10-20T09:53:41"/>
    <x v="0"/>
    <n v="5"/>
    <n v="1200"/>
    <x v="0"/>
    <s v="C0284"/>
    <n v="6000"/>
  </r>
  <r>
    <d v="2024-10-20T21:34:57"/>
    <x v="1"/>
    <n v="3"/>
    <n v="1800"/>
    <x v="1"/>
    <s v="C0146"/>
    <n v="5400"/>
  </r>
  <r>
    <d v="2024-10-21T09:16:13"/>
    <x v="0"/>
    <n v="1"/>
    <n v="700"/>
    <x v="0"/>
    <s v="C0315"/>
    <n v="700"/>
  </r>
  <r>
    <d v="2024-10-21T20:57:29"/>
    <x v="3"/>
    <n v="4"/>
    <n v="700"/>
    <x v="1"/>
    <s v="C0444"/>
    <n v="2800"/>
  </r>
  <r>
    <d v="2024-10-22T08:38:45"/>
    <x v="3"/>
    <n v="3"/>
    <n v="1800"/>
    <x v="1"/>
    <s v="C0319"/>
    <n v="5400"/>
  </r>
  <r>
    <d v="2024-10-22T20:20:01"/>
    <x v="5"/>
    <n v="2"/>
    <n v="700"/>
    <x v="2"/>
    <s v="C0441"/>
    <n v="1400"/>
  </r>
  <r>
    <d v="2024-10-23T08:01:17"/>
    <x v="1"/>
    <n v="2"/>
    <n v="1200"/>
    <x v="1"/>
    <s v="C0092"/>
    <n v="2400"/>
  </r>
  <r>
    <d v="2024-10-23T19:42:33"/>
    <x v="0"/>
    <n v="3"/>
    <n v="450"/>
    <x v="1"/>
    <s v="C0179"/>
    <n v="1350"/>
  </r>
  <r>
    <d v="2024-10-24T07:23:49"/>
    <x v="2"/>
    <n v="1"/>
    <n v="700"/>
    <x v="2"/>
    <s v="C0056"/>
    <n v="700"/>
  </r>
  <r>
    <d v="2024-10-24T19:05:05"/>
    <x v="3"/>
    <n v="2"/>
    <n v="700"/>
    <x v="0"/>
    <s v="C0155"/>
    <n v="1400"/>
  </r>
  <r>
    <d v="2024-10-25T06:46:21"/>
    <x v="3"/>
    <n v="5"/>
    <n v="1800"/>
    <x v="3"/>
    <s v="C0160"/>
    <n v="9000"/>
  </r>
  <r>
    <d v="2024-10-25T18:27:37"/>
    <x v="2"/>
    <n v="6"/>
    <n v="1200"/>
    <x v="3"/>
    <s v="C0111"/>
    <n v="7200"/>
  </r>
  <r>
    <d v="2024-10-26T06:08:53"/>
    <x v="0"/>
    <n v="3"/>
    <n v="450"/>
    <x v="3"/>
    <s v="C0137"/>
    <n v="1350"/>
  </r>
  <r>
    <d v="2024-10-26T17:50:09"/>
    <x v="0"/>
    <n v="3"/>
    <n v="1800"/>
    <x v="0"/>
    <s v="C0232"/>
    <n v="5400"/>
  </r>
  <r>
    <d v="2024-10-27T05:31:25"/>
    <x v="1"/>
    <n v="2"/>
    <n v="1800"/>
    <x v="1"/>
    <s v="C0480"/>
    <n v="3600"/>
  </r>
  <r>
    <d v="2024-10-27T17:12:41"/>
    <x v="1"/>
    <n v="1"/>
    <n v="3500"/>
    <x v="3"/>
    <s v="C0468"/>
    <n v="3500"/>
  </r>
  <r>
    <d v="2024-10-28T04:53:57"/>
    <x v="4"/>
    <n v="5"/>
    <n v="1200"/>
    <x v="0"/>
    <s v="C0220"/>
    <n v="6000"/>
  </r>
  <r>
    <d v="2024-10-28T16:35:13"/>
    <x v="4"/>
    <n v="1"/>
    <n v="450"/>
    <x v="1"/>
    <s v="C0481"/>
    <n v="450"/>
  </r>
  <r>
    <d v="2024-10-29T04:16:29"/>
    <x v="5"/>
    <n v="4"/>
    <n v="1200"/>
    <x v="2"/>
    <s v="C0068"/>
    <n v="4800"/>
  </r>
  <r>
    <d v="2024-10-29T15:57:46"/>
    <x v="3"/>
    <n v="4"/>
    <n v="450"/>
    <x v="3"/>
    <s v="C0302"/>
    <n v="1800"/>
  </r>
  <r>
    <d v="2024-10-30T03:39:02"/>
    <x v="1"/>
    <n v="6"/>
    <n v="1200"/>
    <x v="1"/>
    <s v="C0249"/>
    <n v="7200"/>
  </r>
  <r>
    <d v="2024-10-30T15:20:18"/>
    <x v="0"/>
    <n v="2"/>
    <n v="1800"/>
    <x v="3"/>
    <s v="C0482"/>
    <n v="3600"/>
  </r>
  <r>
    <d v="2024-10-31T03:01:34"/>
    <x v="2"/>
    <n v="2"/>
    <n v="1800"/>
    <x v="3"/>
    <s v="C0496"/>
    <n v="3600"/>
  </r>
  <r>
    <d v="2024-10-31T14:42:50"/>
    <x v="0"/>
    <n v="2"/>
    <n v="150"/>
    <x v="3"/>
    <s v="C0323"/>
    <n v="300"/>
  </r>
  <r>
    <d v="2024-11-01T02:24:06"/>
    <x v="3"/>
    <n v="6"/>
    <n v="700"/>
    <x v="1"/>
    <s v="C0410"/>
    <n v="4200"/>
  </r>
  <r>
    <d v="2024-11-01T14:05:22"/>
    <x v="4"/>
    <n v="4"/>
    <n v="3500"/>
    <x v="0"/>
    <s v="C0392"/>
    <n v="14000"/>
  </r>
  <r>
    <d v="2024-11-02T01:46:38"/>
    <x v="0"/>
    <n v="1"/>
    <n v="1200"/>
    <x v="1"/>
    <s v="C0006"/>
    <n v="1200"/>
  </r>
  <r>
    <d v="2024-11-02T13:27:54"/>
    <x v="5"/>
    <n v="6"/>
    <n v="3500"/>
    <x v="3"/>
    <s v="C0464"/>
    <n v="21000"/>
  </r>
  <r>
    <d v="2024-11-03T01:09:10"/>
    <x v="3"/>
    <n v="6"/>
    <n v="150"/>
    <x v="1"/>
    <s v="C0280"/>
    <n v="900"/>
  </r>
  <r>
    <d v="2024-11-03T12:50:26"/>
    <x v="4"/>
    <n v="1"/>
    <n v="700"/>
    <x v="2"/>
    <s v="C0432"/>
    <n v="700"/>
  </r>
  <r>
    <d v="2024-11-04T00:31:42"/>
    <x v="2"/>
    <n v="2"/>
    <n v="1200"/>
    <x v="0"/>
    <s v="C0487"/>
    <n v="2400"/>
  </r>
  <r>
    <d v="2024-11-04T12:12:58"/>
    <x v="4"/>
    <n v="5"/>
    <n v="450"/>
    <x v="1"/>
    <s v="C0094"/>
    <n v="2250"/>
  </r>
  <r>
    <d v="2024-11-04T23:54:14"/>
    <x v="5"/>
    <n v="1"/>
    <n v="700"/>
    <x v="2"/>
    <s v="C0429"/>
    <n v="700"/>
  </r>
  <r>
    <d v="2024-11-05T11:35:30"/>
    <x v="3"/>
    <n v="4"/>
    <n v="1800"/>
    <x v="0"/>
    <s v="C0269"/>
    <n v="7200"/>
  </r>
  <r>
    <d v="2024-11-05T23:16:46"/>
    <x v="2"/>
    <n v="3"/>
    <n v="150"/>
    <x v="2"/>
    <s v="C0197"/>
    <n v="450"/>
  </r>
  <r>
    <d v="2024-11-06T10:58:02"/>
    <x v="5"/>
    <n v="3"/>
    <n v="700"/>
    <x v="0"/>
    <s v="C0025"/>
    <n v="2100"/>
  </r>
  <r>
    <d v="2024-11-06T22:39:18"/>
    <x v="4"/>
    <n v="6"/>
    <n v="700"/>
    <x v="1"/>
    <s v="C0148"/>
    <n v="4200"/>
  </r>
  <r>
    <d v="2024-11-07T10:20:34"/>
    <x v="5"/>
    <n v="3"/>
    <n v="1800"/>
    <x v="2"/>
    <s v="C0118"/>
    <n v="5400"/>
  </r>
  <r>
    <d v="2024-11-07T22:01:50"/>
    <x v="3"/>
    <n v="5"/>
    <n v="1200"/>
    <x v="3"/>
    <s v="C0338"/>
    <n v="6000"/>
  </r>
  <r>
    <d v="2024-11-08T09:43:07"/>
    <x v="1"/>
    <n v="2"/>
    <n v="450"/>
    <x v="2"/>
    <s v="C0367"/>
    <n v="900"/>
  </r>
  <r>
    <d v="2024-11-08T21:24:23"/>
    <x v="5"/>
    <n v="4"/>
    <n v="1800"/>
    <x v="0"/>
    <s v="C0338"/>
    <n v="7200"/>
  </r>
  <r>
    <d v="2024-11-09T09:05:39"/>
    <x v="5"/>
    <n v="5"/>
    <n v="450"/>
    <x v="1"/>
    <s v="C0066"/>
    <n v="2250"/>
  </r>
  <r>
    <d v="2024-11-09T20:46:55"/>
    <x v="4"/>
    <n v="4"/>
    <n v="1200"/>
    <x v="0"/>
    <s v="C0458"/>
    <n v="4800"/>
  </r>
  <r>
    <d v="2024-11-10T08:28:11"/>
    <x v="4"/>
    <n v="4"/>
    <n v="700"/>
    <x v="2"/>
    <s v="C0301"/>
    <n v="2800"/>
  </r>
  <r>
    <d v="2024-11-10T20:09:27"/>
    <x v="2"/>
    <n v="2"/>
    <n v="450"/>
    <x v="2"/>
    <s v="C0370"/>
    <n v="900"/>
  </r>
  <r>
    <d v="2024-11-11T07:50:43"/>
    <x v="4"/>
    <n v="6"/>
    <n v="150"/>
    <x v="3"/>
    <s v="C0175"/>
    <n v="900"/>
  </r>
  <r>
    <d v="2024-11-11T19:31:59"/>
    <x v="0"/>
    <n v="3"/>
    <n v="150"/>
    <x v="1"/>
    <s v="C0319"/>
    <n v="450"/>
  </r>
  <r>
    <d v="2024-11-12T07:13:15"/>
    <x v="3"/>
    <n v="2"/>
    <n v="1800"/>
    <x v="1"/>
    <s v="C0076"/>
    <n v="3600"/>
  </r>
  <r>
    <d v="2024-11-12T18:54:31"/>
    <x v="3"/>
    <n v="5"/>
    <n v="1200"/>
    <x v="2"/>
    <s v="C0495"/>
    <n v="6000"/>
  </r>
  <r>
    <d v="2024-11-13T06:35:47"/>
    <x v="1"/>
    <n v="6"/>
    <n v="1800"/>
    <x v="1"/>
    <s v="C0461"/>
    <n v="10800"/>
  </r>
  <r>
    <d v="2024-11-13T18:17:03"/>
    <x v="1"/>
    <n v="5"/>
    <n v="1800"/>
    <x v="3"/>
    <s v="C0114"/>
    <n v="9000"/>
  </r>
  <r>
    <d v="2024-11-14T05:58:19"/>
    <x v="3"/>
    <n v="6"/>
    <n v="3500"/>
    <x v="0"/>
    <s v="C0111"/>
    <n v="21000"/>
  </r>
  <r>
    <d v="2024-11-14T17:39:35"/>
    <x v="1"/>
    <n v="5"/>
    <n v="1800"/>
    <x v="1"/>
    <s v="C0249"/>
    <n v="9000"/>
  </r>
  <r>
    <d v="2024-11-15T05:20:51"/>
    <x v="2"/>
    <n v="2"/>
    <n v="3500"/>
    <x v="2"/>
    <s v="C0439"/>
    <n v="7000"/>
  </r>
  <r>
    <d v="2024-11-15T17:02:07"/>
    <x v="4"/>
    <n v="6"/>
    <n v="150"/>
    <x v="0"/>
    <s v="C0203"/>
    <n v="900"/>
  </r>
  <r>
    <d v="2024-11-16T04:43:23"/>
    <x v="3"/>
    <n v="6"/>
    <n v="150"/>
    <x v="0"/>
    <s v="C0147"/>
    <n v="900"/>
  </r>
  <r>
    <d v="2024-11-16T16:24:39"/>
    <x v="1"/>
    <n v="4"/>
    <n v="1800"/>
    <x v="3"/>
    <s v="C0035"/>
    <n v="7200"/>
  </r>
  <r>
    <d v="2024-11-17T04:05:55"/>
    <x v="3"/>
    <n v="4"/>
    <n v="150"/>
    <x v="2"/>
    <s v="C0487"/>
    <n v="600"/>
  </r>
  <r>
    <d v="2024-11-17T15:47:11"/>
    <x v="0"/>
    <n v="1"/>
    <n v="1200"/>
    <x v="1"/>
    <s v="C0309"/>
    <n v="1200"/>
  </r>
  <r>
    <d v="2024-11-18T03:28:28"/>
    <x v="5"/>
    <n v="5"/>
    <n v="3500"/>
    <x v="2"/>
    <s v="C0026"/>
    <n v="17500"/>
  </r>
  <r>
    <d v="2024-11-18T15:09:44"/>
    <x v="4"/>
    <n v="4"/>
    <n v="3500"/>
    <x v="0"/>
    <s v="C0238"/>
    <n v="14000"/>
  </r>
  <r>
    <d v="2024-11-19T02:51:00"/>
    <x v="3"/>
    <n v="1"/>
    <n v="1800"/>
    <x v="2"/>
    <s v="C0014"/>
    <n v="1800"/>
  </r>
  <r>
    <d v="2024-11-19T14:32:16"/>
    <x v="5"/>
    <n v="4"/>
    <n v="150"/>
    <x v="1"/>
    <s v="C0374"/>
    <n v="600"/>
  </r>
  <r>
    <d v="2024-11-20T02:13:32"/>
    <x v="1"/>
    <n v="5"/>
    <n v="450"/>
    <x v="1"/>
    <s v="C0045"/>
    <n v="2250"/>
  </r>
  <r>
    <d v="2024-11-20T13:54:48"/>
    <x v="5"/>
    <n v="6"/>
    <n v="3500"/>
    <x v="3"/>
    <s v="C0428"/>
    <n v="21000"/>
  </r>
  <r>
    <d v="2024-11-21T01:36:04"/>
    <x v="4"/>
    <n v="3"/>
    <n v="1800"/>
    <x v="1"/>
    <s v="C0216"/>
    <n v="5400"/>
  </r>
  <r>
    <d v="2024-11-21T13:17:20"/>
    <x v="3"/>
    <n v="5"/>
    <n v="1800"/>
    <x v="1"/>
    <s v="C0233"/>
    <n v="9000"/>
  </r>
  <r>
    <d v="2024-11-22T00:58:36"/>
    <x v="0"/>
    <n v="2"/>
    <n v="1200"/>
    <x v="2"/>
    <s v="C0193"/>
    <n v="2400"/>
  </r>
  <r>
    <d v="2024-11-22T12:39:52"/>
    <x v="1"/>
    <n v="4"/>
    <n v="700"/>
    <x v="2"/>
    <s v="C0051"/>
    <n v="2800"/>
  </r>
  <r>
    <d v="2024-11-23T00:21:08"/>
    <x v="3"/>
    <n v="4"/>
    <n v="700"/>
    <x v="0"/>
    <s v="C0427"/>
    <n v="2800"/>
  </r>
  <r>
    <d v="2024-11-23T12:02:24"/>
    <x v="4"/>
    <n v="6"/>
    <n v="3500"/>
    <x v="3"/>
    <s v="C0375"/>
    <n v="21000"/>
  </r>
  <r>
    <d v="2024-11-23T23:43:40"/>
    <x v="1"/>
    <n v="2"/>
    <n v="1200"/>
    <x v="2"/>
    <s v="C0214"/>
    <n v="2400"/>
  </r>
  <r>
    <d v="2024-11-24T11:24:56"/>
    <x v="2"/>
    <n v="6"/>
    <n v="1200"/>
    <x v="1"/>
    <s v="C0151"/>
    <n v="7200"/>
  </r>
  <r>
    <d v="2024-11-24T23:06:12"/>
    <x v="5"/>
    <n v="2"/>
    <n v="1200"/>
    <x v="0"/>
    <s v="C0440"/>
    <n v="2400"/>
  </r>
  <r>
    <d v="2024-11-25T10:47:28"/>
    <x v="4"/>
    <n v="3"/>
    <n v="3500"/>
    <x v="2"/>
    <s v="C0275"/>
    <n v="10500"/>
  </r>
  <r>
    <d v="2024-11-25T22:28:44"/>
    <x v="2"/>
    <n v="4"/>
    <n v="700"/>
    <x v="3"/>
    <s v="C0338"/>
    <n v="2800"/>
  </r>
  <r>
    <d v="2024-11-26T10:10:00"/>
    <x v="3"/>
    <n v="4"/>
    <n v="1200"/>
    <x v="3"/>
    <s v="C0076"/>
    <n v="4800"/>
  </r>
  <r>
    <d v="2024-11-26T21:51:16"/>
    <x v="0"/>
    <n v="3"/>
    <n v="150"/>
    <x v="0"/>
    <s v="C0439"/>
    <n v="450"/>
  </r>
  <r>
    <d v="2024-11-27T09:32:33"/>
    <x v="1"/>
    <n v="1"/>
    <n v="1800"/>
    <x v="0"/>
    <s v="C0220"/>
    <n v="1800"/>
  </r>
  <r>
    <d v="2024-11-27T21:13:49"/>
    <x v="5"/>
    <n v="6"/>
    <n v="1800"/>
    <x v="0"/>
    <s v="C0348"/>
    <n v="10800"/>
  </r>
  <r>
    <d v="2024-11-28T08:55:05"/>
    <x v="1"/>
    <n v="3"/>
    <n v="450"/>
    <x v="0"/>
    <s v="C0444"/>
    <n v="1350"/>
  </r>
  <r>
    <d v="2024-11-28T20:36:21"/>
    <x v="3"/>
    <n v="6"/>
    <n v="450"/>
    <x v="0"/>
    <s v="C0187"/>
    <n v="2700"/>
  </r>
  <r>
    <d v="2024-11-29T08:17:37"/>
    <x v="1"/>
    <n v="5"/>
    <n v="3500"/>
    <x v="1"/>
    <s v="C0289"/>
    <n v="17500"/>
  </r>
  <r>
    <d v="2024-11-29T19:58:53"/>
    <x v="5"/>
    <n v="4"/>
    <n v="3500"/>
    <x v="1"/>
    <s v="C0403"/>
    <n v="14000"/>
  </r>
  <r>
    <d v="2024-11-30T07:40:09"/>
    <x v="3"/>
    <n v="6"/>
    <n v="1800"/>
    <x v="2"/>
    <s v="C0028"/>
    <n v="10800"/>
  </r>
  <r>
    <d v="2024-11-30T19:21:25"/>
    <x v="1"/>
    <n v="2"/>
    <n v="150"/>
    <x v="3"/>
    <s v="C0379"/>
    <n v="300"/>
  </r>
  <r>
    <d v="2024-12-01T07:02:41"/>
    <x v="0"/>
    <n v="6"/>
    <n v="700"/>
    <x v="1"/>
    <s v="C0180"/>
    <n v="4200"/>
  </r>
  <r>
    <d v="2024-12-01T18:43:57"/>
    <x v="4"/>
    <n v="5"/>
    <n v="700"/>
    <x v="1"/>
    <s v="C0253"/>
    <n v="3500"/>
  </r>
  <r>
    <d v="2024-12-02T06:25:13"/>
    <x v="3"/>
    <n v="4"/>
    <n v="3500"/>
    <x v="1"/>
    <s v="C0126"/>
    <n v="14000"/>
  </r>
  <r>
    <d v="2024-12-02T18:06:29"/>
    <x v="4"/>
    <n v="3"/>
    <n v="150"/>
    <x v="2"/>
    <s v="C0177"/>
    <n v="450"/>
  </r>
  <r>
    <d v="2024-12-03T05:47:45"/>
    <x v="3"/>
    <n v="5"/>
    <n v="3500"/>
    <x v="0"/>
    <s v="C0037"/>
    <n v="17500"/>
  </r>
  <r>
    <d v="2024-12-03T17:29:01"/>
    <x v="0"/>
    <n v="4"/>
    <n v="700"/>
    <x v="2"/>
    <s v="C0410"/>
    <n v="2800"/>
  </r>
  <r>
    <d v="2024-12-04T05:10:17"/>
    <x v="4"/>
    <n v="6"/>
    <n v="3500"/>
    <x v="3"/>
    <s v="C0099"/>
    <n v="21000"/>
  </r>
  <r>
    <d v="2024-12-04T16:51:33"/>
    <x v="2"/>
    <n v="1"/>
    <n v="1200"/>
    <x v="3"/>
    <s v="C0098"/>
    <n v="1200"/>
  </r>
  <r>
    <d v="2024-12-05T04:32:49"/>
    <x v="5"/>
    <n v="1"/>
    <n v="3500"/>
    <x v="3"/>
    <s v="C0127"/>
    <n v="3500"/>
  </r>
  <r>
    <d v="2024-12-05T16:14:05"/>
    <x v="2"/>
    <n v="2"/>
    <n v="1800"/>
    <x v="3"/>
    <s v="C0483"/>
    <n v="3600"/>
  </r>
  <r>
    <d v="2024-12-06T03:55:21"/>
    <x v="1"/>
    <n v="4"/>
    <n v="3500"/>
    <x v="1"/>
    <s v="C0168"/>
    <n v="14000"/>
  </r>
  <r>
    <d v="2024-12-06T15:36:37"/>
    <x v="0"/>
    <n v="1"/>
    <n v="1800"/>
    <x v="1"/>
    <s v="C0080"/>
    <n v="1800"/>
  </r>
  <r>
    <d v="2024-12-07T03:17:54"/>
    <x v="2"/>
    <n v="3"/>
    <n v="150"/>
    <x v="2"/>
    <s v="C0294"/>
    <n v="450"/>
  </r>
  <r>
    <d v="2024-12-07T14:59:10"/>
    <x v="3"/>
    <n v="4"/>
    <n v="700"/>
    <x v="0"/>
    <s v="C0333"/>
    <n v="2800"/>
  </r>
  <r>
    <d v="2024-12-08T02:40:26"/>
    <x v="1"/>
    <n v="3"/>
    <n v="450"/>
    <x v="3"/>
    <s v="C0126"/>
    <n v="1350"/>
  </r>
  <r>
    <d v="2024-12-08T14:21:42"/>
    <x v="1"/>
    <n v="3"/>
    <n v="450"/>
    <x v="2"/>
    <s v="C0343"/>
    <n v="1350"/>
  </r>
  <r>
    <d v="2024-12-09T02:02:58"/>
    <x v="2"/>
    <n v="1"/>
    <n v="700"/>
    <x v="1"/>
    <s v="C0310"/>
    <n v="700"/>
  </r>
  <r>
    <d v="2024-12-09T13:44:14"/>
    <x v="2"/>
    <n v="4"/>
    <n v="450"/>
    <x v="1"/>
    <s v="C0150"/>
    <n v="1800"/>
  </r>
  <r>
    <d v="2024-12-10T01:25:30"/>
    <x v="0"/>
    <n v="6"/>
    <n v="3500"/>
    <x v="0"/>
    <s v="C0016"/>
    <n v="21000"/>
  </r>
  <r>
    <d v="2024-12-10T13:06:46"/>
    <x v="5"/>
    <n v="5"/>
    <n v="150"/>
    <x v="0"/>
    <s v="C0028"/>
    <n v="750"/>
  </r>
  <r>
    <d v="2024-12-11T00:48:02"/>
    <x v="2"/>
    <n v="1"/>
    <n v="150"/>
    <x v="0"/>
    <s v="C0496"/>
    <n v="150"/>
  </r>
  <r>
    <d v="2024-12-11T12:29:18"/>
    <x v="2"/>
    <n v="1"/>
    <n v="700"/>
    <x v="2"/>
    <s v="C0419"/>
    <n v="700"/>
  </r>
  <r>
    <d v="2024-12-12T00:10:34"/>
    <x v="4"/>
    <n v="6"/>
    <n v="450"/>
    <x v="1"/>
    <s v="C0444"/>
    <n v="2700"/>
  </r>
  <r>
    <d v="2024-12-12T11:51:50"/>
    <x v="3"/>
    <n v="4"/>
    <n v="3500"/>
    <x v="1"/>
    <s v="C0173"/>
    <n v="14000"/>
  </r>
  <r>
    <d v="2024-12-12T23:33:06"/>
    <x v="4"/>
    <n v="4"/>
    <n v="150"/>
    <x v="0"/>
    <s v="C0046"/>
    <n v="600"/>
  </r>
  <r>
    <d v="2024-12-13T11:14:22"/>
    <x v="4"/>
    <n v="3"/>
    <n v="150"/>
    <x v="3"/>
    <s v="C0328"/>
    <n v="450"/>
  </r>
  <r>
    <d v="2024-12-13T22:55:38"/>
    <x v="1"/>
    <n v="6"/>
    <n v="1200"/>
    <x v="0"/>
    <s v="C0236"/>
    <n v="7200"/>
  </r>
  <r>
    <d v="2024-12-14T10:36:54"/>
    <x v="5"/>
    <n v="6"/>
    <n v="1200"/>
    <x v="2"/>
    <s v="C0439"/>
    <n v="7200"/>
  </r>
  <r>
    <d v="2024-12-14T22:18:10"/>
    <x v="3"/>
    <n v="4"/>
    <n v="150"/>
    <x v="0"/>
    <s v="C0214"/>
    <n v="600"/>
  </r>
  <r>
    <d v="2024-12-15T09:59:26"/>
    <x v="0"/>
    <n v="3"/>
    <n v="700"/>
    <x v="0"/>
    <s v="C0085"/>
    <n v="2100"/>
  </r>
  <r>
    <d v="2024-12-15T21:40:42"/>
    <x v="0"/>
    <n v="1"/>
    <n v="1800"/>
    <x v="2"/>
    <s v="C0282"/>
    <n v="1800"/>
  </r>
  <r>
    <d v="2024-12-16T09:21:58"/>
    <x v="2"/>
    <n v="2"/>
    <n v="1800"/>
    <x v="0"/>
    <s v="C0232"/>
    <n v="3600"/>
  </r>
  <r>
    <d v="2024-12-16T21:03:15"/>
    <x v="2"/>
    <n v="5"/>
    <n v="3500"/>
    <x v="1"/>
    <s v="C0085"/>
    <n v="17500"/>
  </r>
  <r>
    <d v="2024-12-17T08:44:31"/>
    <x v="0"/>
    <n v="1"/>
    <n v="150"/>
    <x v="3"/>
    <s v="C0409"/>
    <n v="150"/>
  </r>
  <r>
    <d v="2024-12-17T20:25:47"/>
    <x v="2"/>
    <n v="4"/>
    <n v="150"/>
    <x v="0"/>
    <s v="C0489"/>
    <n v="600"/>
  </r>
  <r>
    <d v="2024-12-18T08:07:03"/>
    <x v="5"/>
    <n v="5"/>
    <n v="150"/>
    <x v="2"/>
    <s v="C0065"/>
    <n v="750"/>
  </r>
  <r>
    <d v="2024-12-18T19:48:19"/>
    <x v="4"/>
    <n v="2"/>
    <n v="700"/>
    <x v="3"/>
    <s v="C0134"/>
    <n v="1400"/>
  </r>
  <r>
    <d v="2024-12-19T07:29:35"/>
    <x v="2"/>
    <n v="2"/>
    <n v="1200"/>
    <x v="2"/>
    <s v="C0151"/>
    <n v="2400"/>
  </r>
  <r>
    <d v="2024-12-19T19:10:51"/>
    <x v="1"/>
    <n v="3"/>
    <n v="150"/>
    <x v="3"/>
    <s v="C0115"/>
    <n v="450"/>
  </r>
  <r>
    <d v="2024-12-20T06:52:07"/>
    <x v="2"/>
    <n v="5"/>
    <n v="150"/>
    <x v="3"/>
    <s v="C0064"/>
    <n v="750"/>
  </r>
  <r>
    <d v="2024-12-20T18:33:23"/>
    <x v="3"/>
    <n v="3"/>
    <n v="450"/>
    <x v="0"/>
    <s v="C0343"/>
    <n v="1350"/>
  </r>
  <r>
    <d v="2024-12-21T06:14:39"/>
    <x v="5"/>
    <n v="1"/>
    <n v="700"/>
    <x v="1"/>
    <s v="C0427"/>
    <n v="700"/>
  </r>
  <r>
    <d v="2024-12-21T17:55:55"/>
    <x v="3"/>
    <n v="6"/>
    <n v="3500"/>
    <x v="0"/>
    <s v="C0363"/>
    <n v="21000"/>
  </r>
  <r>
    <d v="2024-12-22T05:37:11"/>
    <x v="3"/>
    <n v="6"/>
    <n v="150"/>
    <x v="2"/>
    <s v="C0407"/>
    <n v="900"/>
  </r>
  <r>
    <d v="2024-12-22T17:18:27"/>
    <x v="1"/>
    <n v="6"/>
    <n v="450"/>
    <x v="2"/>
    <s v="C0352"/>
    <n v="2700"/>
  </r>
  <r>
    <d v="2024-12-23T04:59:43"/>
    <x v="5"/>
    <n v="5"/>
    <n v="1800"/>
    <x v="3"/>
    <s v="C0158"/>
    <n v="9000"/>
  </r>
  <r>
    <d v="2024-12-23T16:40:59"/>
    <x v="5"/>
    <n v="6"/>
    <n v="3500"/>
    <x v="3"/>
    <s v="C0077"/>
    <n v="21000"/>
  </r>
  <r>
    <d v="2024-12-24T04:22:15"/>
    <x v="5"/>
    <n v="1"/>
    <n v="150"/>
    <x v="1"/>
    <s v="C0491"/>
    <n v="150"/>
  </r>
  <r>
    <d v="2024-12-24T16:03:31"/>
    <x v="5"/>
    <n v="3"/>
    <n v="150"/>
    <x v="0"/>
    <s v="C0146"/>
    <n v="450"/>
  </r>
  <r>
    <d v="2024-12-25T03:44:47"/>
    <x v="5"/>
    <n v="5"/>
    <n v="450"/>
    <x v="2"/>
    <s v="C0343"/>
    <n v="2250"/>
  </r>
  <r>
    <d v="2024-12-25T15:26:03"/>
    <x v="1"/>
    <n v="3"/>
    <n v="700"/>
    <x v="3"/>
    <s v="C0463"/>
    <n v="2100"/>
  </r>
  <r>
    <d v="2024-12-26T03:07:19"/>
    <x v="2"/>
    <n v="5"/>
    <n v="150"/>
    <x v="1"/>
    <s v="C0225"/>
    <n v="750"/>
  </r>
  <r>
    <d v="2024-12-26T14:48:36"/>
    <x v="3"/>
    <n v="3"/>
    <n v="1800"/>
    <x v="2"/>
    <s v="C0405"/>
    <n v="5400"/>
  </r>
  <r>
    <d v="2024-12-27T02:29:52"/>
    <x v="5"/>
    <n v="2"/>
    <n v="150"/>
    <x v="3"/>
    <s v="C0313"/>
    <n v="300"/>
  </r>
  <r>
    <d v="2024-12-27T14:11:08"/>
    <x v="2"/>
    <n v="3"/>
    <n v="1800"/>
    <x v="2"/>
    <s v="C0103"/>
    <n v="5400"/>
  </r>
  <r>
    <d v="2024-12-28T01:52:24"/>
    <x v="2"/>
    <n v="6"/>
    <n v="3500"/>
    <x v="1"/>
    <s v="C0407"/>
    <n v="21000"/>
  </r>
  <r>
    <d v="2024-12-28T13:33:40"/>
    <x v="3"/>
    <n v="2"/>
    <n v="3500"/>
    <x v="1"/>
    <s v="C0347"/>
    <n v="7000"/>
  </r>
  <r>
    <d v="2024-12-29T01:14:56"/>
    <x v="1"/>
    <n v="3"/>
    <n v="1200"/>
    <x v="2"/>
    <s v="C0301"/>
    <n v="3600"/>
  </r>
  <r>
    <d v="2024-12-29T12:56:12"/>
    <x v="0"/>
    <n v="5"/>
    <n v="1200"/>
    <x v="0"/>
    <s v="C0428"/>
    <n v="6000"/>
  </r>
  <r>
    <d v="2024-12-30T00:37:28"/>
    <x v="0"/>
    <n v="5"/>
    <n v="1800"/>
    <x v="2"/>
    <s v="C0466"/>
    <n v="9000"/>
  </r>
  <r>
    <d v="2024-12-30T12:18:44"/>
    <x v="2"/>
    <n v="5"/>
    <n v="700"/>
    <x v="3"/>
    <s v="C0088"/>
    <n v="3500"/>
  </r>
  <r>
    <d v="2024-12-31T00:00:00"/>
    <x v="4"/>
    <n v="4"/>
    <n v="150"/>
    <x v="0"/>
    <s v="C0371"/>
    <n v="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1">
  <r>
    <x v="0"/>
    <d v="2023-01-01T00:00:00"/>
    <s v="Keyboard"/>
    <n v="6"/>
    <n v="150"/>
    <s v="East"/>
    <s v="C0186"/>
    <n v="900"/>
  </r>
  <r>
    <x v="0"/>
    <d v="2023-01-01T11:41:16"/>
    <s v="Headphones"/>
    <n v="2"/>
    <n v="1800"/>
    <s v="North"/>
    <s v="C0252"/>
    <n v="3600"/>
  </r>
  <r>
    <x v="0"/>
    <d v="2023-01-01T23:22:32"/>
    <s v="Wireless Mouse"/>
    <n v="4"/>
    <n v="450"/>
    <s v="West"/>
    <s v="C0355"/>
    <n v="1800"/>
  </r>
  <r>
    <x v="0"/>
    <d v="2023-01-02T11:03:48"/>
    <s v="Headphones"/>
    <n v="3"/>
    <n v="1800"/>
    <s v="West"/>
    <s v="C0238"/>
    <n v="5400"/>
  </r>
  <r>
    <x v="0"/>
    <d v="2023-01-02T22:45:04"/>
    <s v="Headphones"/>
    <n v="5"/>
    <n v="1200"/>
    <s v="East"/>
    <s v="C0360"/>
    <n v="6000"/>
  </r>
  <r>
    <x v="0"/>
    <d v="2023-01-03T10:26:20"/>
    <s v="Laptop Bag"/>
    <n v="4"/>
    <n v="3500"/>
    <s v="North"/>
    <s v="C0184"/>
    <n v="14000"/>
  </r>
  <r>
    <x v="0"/>
    <d v="2023-01-03T22:07:36"/>
    <s v="Wireless Mouse"/>
    <n v="3"/>
    <n v="450"/>
    <s v="East"/>
    <s v="C0284"/>
    <n v="1350"/>
  </r>
  <r>
    <x v="0"/>
    <d v="2023-01-04T09:48:52"/>
    <s v="Wireless Mouse"/>
    <n v="3"/>
    <n v="1200"/>
    <s v="West"/>
    <s v="C0385"/>
    <n v="3600"/>
  </r>
  <r>
    <x v="0"/>
    <d v="2023-01-04T21:30:08"/>
    <s v="Wireless Mouse"/>
    <n v="1"/>
    <n v="3500"/>
    <s v="North"/>
    <s v="C0426"/>
    <n v="3500"/>
  </r>
  <r>
    <x v="0"/>
    <d v="2023-01-05T09:11:24"/>
    <s v="Headphones"/>
    <n v="5"/>
    <n v="450"/>
    <s v="North"/>
    <s v="C0210"/>
    <n v="2250"/>
  </r>
  <r>
    <x v="0"/>
    <d v="2023-01-05T20:52:41"/>
    <s v="Keyboard"/>
    <n v="1"/>
    <n v="700"/>
    <s v="East"/>
    <s v="C0304"/>
    <n v="700"/>
  </r>
  <r>
    <x v="0"/>
    <d v="2023-01-06T08:33:57"/>
    <s v="Wireless Mouse"/>
    <n v="2"/>
    <n v="150"/>
    <s v="South"/>
    <s v="C0296"/>
    <n v="300"/>
  </r>
  <r>
    <x v="0"/>
    <d v="2023-01-06T20:15:13"/>
    <s v="Smart Watch"/>
    <n v="1"/>
    <n v="150"/>
    <s v="East"/>
    <s v="C0097"/>
    <n v="150"/>
  </r>
  <r>
    <x v="0"/>
    <d v="2023-01-07T07:56:29"/>
    <s v="Headphones"/>
    <n v="1"/>
    <n v="1200"/>
    <s v="West"/>
    <s v="C0447"/>
    <n v="1200"/>
  </r>
  <r>
    <x v="0"/>
    <d v="2023-01-07T19:37:45"/>
    <s v="Laptop Bag"/>
    <n v="4"/>
    <n v="3500"/>
    <s v="West"/>
    <s v="C0460"/>
    <n v="14000"/>
  </r>
  <r>
    <x v="0"/>
    <d v="2023-01-08T07:19:01"/>
    <s v="Keyboard"/>
    <n v="6"/>
    <n v="150"/>
    <s v="West"/>
    <s v="C0456"/>
    <n v="900"/>
  </r>
  <r>
    <x v="0"/>
    <d v="2023-01-08T19:00:17"/>
    <s v="Smart Watch"/>
    <n v="3"/>
    <n v="3500"/>
    <s v="West"/>
    <s v="C0472"/>
    <n v="10500"/>
  </r>
  <r>
    <x v="0"/>
    <d v="2023-01-09T06:41:33"/>
    <s v="Smart Watch"/>
    <n v="5"/>
    <n v="3500"/>
    <s v="West"/>
    <s v="C0208"/>
    <n v="17500"/>
  </r>
  <r>
    <x v="0"/>
    <d v="2023-01-09T18:22:49"/>
    <s v="Laptop Bag"/>
    <n v="1"/>
    <n v="1200"/>
    <s v="South"/>
    <s v="C0370"/>
    <n v="1200"/>
  </r>
  <r>
    <x v="0"/>
    <d v="2023-01-10T06:04:05"/>
    <s v="Keyboard"/>
    <n v="5"/>
    <n v="1200"/>
    <s v="North"/>
    <s v="C0388"/>
    <n v="6000"/>
  </r>
  <r>
    <x v="0"/>
    <d v="2023-01-10T17:45:21"/>
    <s v="Headphones"/>
    <n v="6"/>
    <n v="1200"/>
    <s v="East"/>
    <s v="C0422"/>
    <n v="7200"/>
  </r>
  <r>
    <x v="0"/>
    <d v="2023-01-11T05:26:37"/>
    <s v="Mobile Cover"/>
    <n v="6"/>
    <n v="150"/>
    <s v="East"/>
    <s v="C0492"/>
    <n v="900"/>
  </r>
  <r>
    <x v="0"/>
    <d v="2023-01-11T17:07:53"/>
    <s v="Keyboard"/>
    <n v="1"/>
    <n v="1200"/>
    <s v="West"/>
    <s v="C0411"/>
    <n v="1200"/>
  </r>
  <r>
    <x v="0"/>
    <d v="2023-01-12T04:49:09"/>
    <s v="Laptop Bag"/>
    <n v="2"/>
    <n v="150"/>
    <s v="East"/>
    <s v="C0137"/>
    <n v="300"/>
  </r>
  <r>
    <x v="0"/>
    <d v="2023-01-12T16:30:25"/>
    <s v="Smart Watch"/>
    <n v="1"/>
    <n v="1200"/>
    <s v="West"/>
    <s v="C0367"/>
    <n v="1200"/>
  </r>
  <r>
    <x v="0"/>
    <d v="2023-01-13T04:11:41"/>
    <s v="Headphones"/>
    <n v="4"/>
    <n v="1800"/>
    <s v="South"/>
    <s v="C0400"/>
    <n v="7200"/>
  </r>
  <r>
    <x v="0"/>
    <d v="2023-01-13T15:52:57"/>
    <s v="Keyboard"/>
    <n v="3"/>
    <n v="3500"/>
    <s v="South"/>
    <s v="C0184"/>
    <n v="10500"/>
  </r>
  <r>
    <x v="0"/>
    <d v="2023-01-14T03:34:13"/>
    <s v="Mobile Cover"/>
    <n v="2"/>
    <n v="1200"/>
    <s v="North"/>
    <s v="C0076"/>
    <n v="2400"/>
  </r>
  <r>
    <x v="0"/>
    <d v="2023-01-14T15:15:29"/>
    <s v="Mobile Cover"/>
    <n v="1"/>
    <n v="450"/>
    <s v="South"/>
    <s v="C0287"/>
    <n v="450"/>
  </r>
  <r>
    <x v="0"/>
    <d v="2023-01-15T02:56:45"/>
    <s v="Wireless Mouse"/>
    <n v="5"/>
    <n v="3500"/>
    <s v="South"/>
    <s v="C0472"/>
    <n v="17500"/>
  </r>
  <r>
    <x v="0"/>
    <d v="2023-01-15T14:38:02"/>
    <s v="Wireless Mouse"/>
    <n v="2"/>
    <n v="3500"/>
    <s v="North"/>
    <s v="C0375"/>
    <n v="7000"/>
  </r>
  <r>
    <x v="0"/>
    <d v="2023-01-16T02:19:18"/>
    <s v="Laptop Bag"/>
    <n v="2"/>
    <n v="1200"/>
    <s v="East"/>
    <s v="C0142"/>
    <n v="2400"/>
  </r>
  <r>
    <x v="0"/>
    <d v="2023-01-16T14:00:34"/>
    <s v="Keyboard"/>
    <n v="1"/>
    <n v="700"/>
    <s v="West"/>
    <s v="C0237"/>
    <n v="700"/>
  </r>
  <r>
    <x v="0"/>
    <d v="2023-01-17T01:41:50"/>
    <s v="Keyboard"/>
    <n v="2"/>
    <n v="1200"/>
    <s v="West"/>
    <s v="C0025"/>
    <n v="2400"/>
  </r>
  <r>
    <x v="0"/>
    <d v="2023-01-17T13:23:06"/>
    <s v="Smart Watch"/>
    <n v="5"/>
    <n v="3500"/>
    <s v="East"/>
    <s v="C0290"/>
    <n v="17500"/>
  </r>
  <r>
    <x v="0"/>
    <d v="2023-01-18T01:04:22"/>
    <s v="Smart Watch"/>
    <n v="6"/>
    <n v="450"/>
    <s v="North"/>
    <s v="C0067"/>
    <n v="2700"/>
  </r>
  <r>
    <x v="0"/>
    <d v="2023-01-18T12:45:38"/>
    <s v="Smart Watch"/>
    <n v="2"/>
    <n v="3500"/>
    <s v="East"/>
    <s v="C0250"/>
    <n v="7000"/>
  </r>
  <r>
    <x v="0"/>
    <d v="2023-01-19T00:26:54"/>
    <s v="Wireless Mouse"/>
    <n v="6"/>
    <n v="450"/>
    <s v="South"/>
    <s v="C0408"/>
    <n v="2700"/>
  </r>
  <r>
    <x v="0"/>
    <d v="2023-01-19T12:08:10"/>
    <s v="Keyboard"/>
    <n v="5"/>
    <n v="150"/>
    <s v="North"/>
    <s v="C0118"/>
    <n v="750"/>
  </r>
  <r>
    <x v="0"/>
    <d v="2023-01-19T23:49:26"/>
    <s v="Keyboard"/>
    <n v="1"/>
    <n v="1800"/>
    <s v="North"/>
    <s v="C0490"/>
    <n v="1800"/>
  </r>
  <r>
    <x v="0"/>
    <d v="2023-01-20T11:30:42"/>
    <s v="Mobile Cover"/>
    <n v="3"/>
    <n v="3500"/>
    <s v="North"/>
    <s v="C0073"/>
    <n v="10500"/>
  </r>
  <r>
    <x v="0"/>
    <d v="2023-01-20T23:11:58"/>
    <s v="Wireless Mouse"/>
    <n v="2"/>
    <n v="1200"/>
    <s v="West"/>
    <s v="C0282"/>
    <n v="2400"/>
  </r>
  <r>
    <x v="0"/>
    <d v="2023-01-21T10:53:14"/>
    <s v="Headphones"/>
    <n v="3"/>
    <n v="150"/>
    <s v="East"/>
    <s v="C0404"/>
    <n v="450"/>
  </r>
  <r>
    <x v="0"/>
    <d v="2023-01-21T22:34:30"/>
    <s v="Wireless Mouse"/>
    <n v="5"/>
    <n v="1800"/>
    <s v="North"/>
    <s v="C0448"/>
    <n v="9000"/>
  </r>
  <r>
    <x v="0"/>
    <d v="2023-01-22T10:15:46"/>
    <s v="Headphones"/>
    <n v="2"/>
    <n v="1200"/>
    <s v="North"/>
    <s v="C0360"/>
    <n v="2400"/>
  </r>
  <r>
    <x v="0"/>
    <d v="2023-01-22T21:57:02"/>
    <s v="Mobile Cover"/>
    <n v="6"/>
    <n v="700"/>
    <s v="North"/>
    <s v="C0010"/>
    <n v="4200"/>
  </r>
  <r>
    <x v="0"/>
    <d v="2023-01-23T09:38:18"/>
    <s v="Laptop Bag"/>
    <n v="4"/>
    <n v="1200"/>
    <s v="East"/>
    <s v="C0211"/>
    <n v="4800"/>
  </r>
  <r>
    <x v="0"/>
    <d v="2023-01-23T21:19:34"/>
    <s v="Keyboard"/>
    <n v="3"/>
    <n v="450"/>
    <s v="West"/>
    <s v="C0323"/>
    <n v="1350"/>
  </r>
  <r>
    <x v="0"/>
    <d v="2023-01-24T09:00:50"/>
    <s v="Mobile Cover"/>
    <n v="2"/>
    <n v="450"/>
    <s v="South"/>
    <s v="C0152"/>
    <n v="900"/>
  </r>
  <r>
    <x v="0"/>
    <d v="2023-01-24T20:42:06"/>
    <s v="Keyboard"/>
    <n v="3"/>
    <n v="700"/>
    <s v="West"/>
    <s v="C0005"/>
    <n v="2100"/>
  </r>
  <r>
    <x v="0"/>
    <d v="2023-01-25T08:23:23"/>
    <s v="Smart Watch"/>
    <n v="2"/>
    <n v="150"/>
    <s v="North"/>
    <s v="C0195"/>
    <n v="300"/>
  </r>
  <r>
    <x v="0"/>
    <d v="2023-01-25T20:04:39"/>
    <s v="Laptop Bag"/>
    <n v="1"/>
    <n v="1800"/>
    <s v="West"/>
    <s v="C0442"/>
    <n v="1800"/>
  </r>
  <r>
    <x v="0"/>
    <d v="2023-01-26T07:45:55"/>
    <s v="Laptop Bag"/>
    <n v="6"/>
    <n v="1200"/>
    <s v="West"/>
    <s v="C0283"/>
    <n v="7200"/>
  </r>
  <r>
    <x v="0"/>
    <d v="2023-01-26T19:27:11"/>
    <s v="Mobile Cover"/>
    <n v="3"/>
    <n v="450"/>
    <s v="South"/>
    <s v="C0464"/>
    <n v="1350"/>
  </r>
  <r>
    <x v="0"/>
    <d v="2023-01-27T07:08:27"/>
    <s v="Laptop Bag"/>
    <n v="4"/>
    <n v="150"/>
    <s v="East"/>
    <s v="C0113"/>
    <n v="600"/>
  </r>
  <r>
    <x v="0"/>
    <d v="2023-01-27T18:49:43"/>
    <s v="Headphones"/>
    <n v="4"/>
    <n v="700"/>
    <s v="East"/>
    <s v="C0271"/>
    <n v="2800"/>
  </r>
  <r>
    <x v="0"/>
    <d v="2023-01-28T06:30:59"/>
    <s v="Laptop Bag"/>
    <n v="5"/>
    <n v="3500"/>
    <s v="West"/>
    <s v="C0163"/>
    <n v="17500"/>
  </r>
  <r>
    <x v="0"/>
    <d v="2023-01-28T18:12:15"/>
    <s v="Keyboard"/>
    <n v="2"/>
    <n v="450"/>
    <s v="West"/>
    <s v="C0460"/>
    <n v="900"/>
  </r>
  <r>
    <x v="0"/>
    <d v="2023-01-29T05:53:31"/>
    <s v="Keyboard"/>
    <n v="3"/>
    <n v="700"/>
    <s v="East"/>
    <s v="C0105"/>
    <n v="2100"/>
  </r>
  <r>
    <x v="0"/>
    <d v="2023-01-29T17:34:47"/>
    <s v="Keyboard"/>
    <n v="5"/>
    <n v="1200"/>
    <s v="East"/>
    <s v="C0181"/>
    <n v="6000"/>
  </r>
  <r>
    <x v="0"/>
    <d v="2023-01-30T05:16:03"/>
    <s v="Keyboard"/>
    <n v="3"/>
    <n v="1800"/>
    <s v="South"/>
    <s v="C0044"/>
    <n v="5400"/>
  </r>
  <r>
    <x v="0"/>
    <d v="2023-01-30T16:57:19"/>
    <s v="Headphones"/>
    <n v="2"/>
    <n v="450"/>
    <s v="North"/>
    <s v="C0282"/>
    <n v="900"/>
  </r>
  <r>
    <x v="0"/>
    <d v="2023-01-31T04:38:35"/>
    <s v="Wireless Mouse"/>
    <n v="4"/>
    <n v="450"/>
    <s v="West"/>
    <s v="C0175"/>
    <n v="1800"/>
  </r>
  <r>
    <x v="0"/>
    <d v="2023-01-31T16:19:51"/>
    <s v="Smart Watch"/>
    <n v="1"/>
    <n v="1200"/>
    <s v="East"/>
    <s v="C0162"/>
    <n v="1200"/>
  </r>
  <r>
    <x v="1"/>
    <d v="2023-02-01T04:01:07"/>
    <s v="Mobile Cover"/>
    <n v="4"/>
    <n v="3500"/>
    <s v="West"/>
    <s v="C0471"/>
    <n v="14000"/>
  </r>
  <r>
    <x v="1"/>
    <d v="2023-02-01T15:42:23"/>
    <s v="Keyboard"/>
    <n v="5"/>
    <n v="150"/>
    <s v="West"/>
    <s v="C0351"/>
    <n v="750"/>
  </r>
  <r>
    <x v="1"/>
    <d v="2023-02-02T03:23:39"/>
    <s v="Laptop Bag"/>
    <n v="6"/>
    <n v="1800"/>
    <s v="East"/>
    <s v="C0434"/>
    <n v="10800"/>
  </r>
  <r>
    <x v="1"/>
    <d v="2023-02-02T15:04:55"/>
    <s v="Keyboard"/>
    <n v="1"/>
    <n v="450"/>
    <s v="South"/>
    <s v="C0340"/>
    <n v="450"/>
  </r>
  <r>
    <x v="1"/>
    <d v="2023-02-03T02:46:11"/>
    <s v="Laptop Bag"/>
    <n v="5"/>
    <n v="1800"/>
    <s v="West"/>
    <s v="C0140"/>
    <n v="9000"/>
  </r>
  <r>
    <x v="1"/>
    <d v="2023-02-03T14:27:27"/>
    <s v="Smart Watch"/>
    <n v="2"/>
    <n v="450"/>
    <s v="South"/>
    <s v="C0471"/>
    <n v="900"/>
  </r>
  <r>
    <x v="1"/>
    <d v="2023-02-04T02:08:44"/>
    <s v="Smart Watch"/>
    <n v="1"/>
    <n v="1800"/>
    <s v="East"/>
    <s v="C0132"/>
    <n v="1800"/>
  </r>
  <r>
    <x v="1"/>
    <d v="2023-02-04T13:50:00"/>
    <s v="Smart Watch"/>
    <n v="5"/>
    <n v="700"/>
    <s v="North"/>
    <s v="C0087"/>
    <n v="3500"/>
  </r>
  <r>
    <x v="1"/>
    <d v="2023-02-05T01:31:16"/>
    <s v="Laptop Bag"/>
    <n v="2"/>
    <n v="450"/>
    <s v="North"/>
    <s v="C0176"/>
    <n v="900"/>
  </r>
  <r>
    <x v="1"/>
    <d v="2023-02-05T13:12:32"/>
    <s v="Keyboard"/>
    <n v="4"/>
    <n v="1800"/>
    <s v="West"/>
    <s v="C0183"/>
    <n v="7200"/>
  </r>
  <r>
    <x v="1"/>
    <d v="2023-02-06T00:53:48"/>
    <s v="Smart Watch"/>
    <n v="6"/>
    <n v="150"/>
    <s v="East"/>
    <s v="C0368"/>
    <n v="900"/>
  </r>
  <r>
    <x v="1"/>
    <d v="2023-02-06T12:35:04"/>
    <s v="Headphones"/>
    <n v="2"/>
    <n v="700"/>
    <s v="South"/>
    <s v="C0129"/>
    <n v="1400"/>
  </r>
  <r>
    <x v="1"/>
    <d v="2023-02-07T00:16:20"/>
    <s v="Laptop Bag"/>
    <n v="3"/>
    <n v="700"/>
    <s v="West"/>
    <s v="C0246"/>
    <n v="2100"/>
  </r>
  <r>
    <x v="1"/>
    <d v="2023-02-07T11:57:36"/>
    <s v="Laptop Bag"/>
    <n v="2"/>
    <n v="150"/>
    <s v="East"/>
    <s v="C0089"/>
    <n v="300"/>
  </r>
  <r>
    <x v="1"/>
    <d v="2023-02-07T23:38:52"/>
    <s v="Keyboard"/>
    <n v="2"/>
    <n v="1800"/>
    <s v="East"/>
    <s v="C0066"/>
    <n v="3600"/>
  </r>
  <r>
    <x v="1"/>
    <d v="2023-02-08T11:20:08"/>
    <s v="Laptop Bag"/>
    <n v="6"/>
    <n v="1200"/>
    <s v="South"/>
    <s v="C0158"/>
    <n v="7200"/>
  </r>
  <r>
    <x v="1"/>
    <d v="2023-02-08T23:01:24"/>
    <s v="Laptop Bag"/>
    <n v="3"/>
    <n v="150"/>
    <s v="West"/>
    <s v="C0387"/>
    <n v="450"/>
  </r>
  <r>
    <x v="1"/>
    <d v="2023-02-09T10:42:40"/>
    <s v="Smart Watch"/>
    <n v="5"/>
    <n v="1800"/>
    <s v="East"/>
    <s v="C0378"/>
    <n v="9000"/>
  </r>
  <r>
    <x v="1"/>
    <d v="2023-02-09T22:23:56"/>
    <s v="Keyboard"/>
    <n v="5"/>
    <n v="150"/>
    <s v="East"/>
    <s v="C0149"/>
    <n v="750"/>
  </r>
  <r>
    <x v="1"/>
    <d v="2023-02-10T10:05:12"/>
    <s v="Smart Watch"/>
    <n v="2"/>
    <n v="150"/>
    <s v="East"/>
    <s v="C0473"/>
    <n v="300"/>
  </r>
  <r>
    <x v="1"/>
    <d v="2023-02-10T21:46:28"/>
    <s v="Smart Watch"/>
    <n v="3"/>
    <n v="450"/>
    <s v="South"/>
    <s v="C0340"/>
    <n v="1350"/>
  </r>
  <r>
    <x v="1"/>
    <d v="2023-02-11T09:27:44"/>
    <s v="Keyboard"/>
    <n v="3"/>
    <n v="1800"/>
    <s v="West"/>
    <s v="C0433"/>
    <n v="5400"/>
  </r>
  <r>
    <x v="1"/>
    <d v="2023-02-11T21:09:00"/>
    <s v="Mobile Cover"/>
    <n v="6"/>
    <n v="1200"/>
    <s v="West"/>
    <s v="C0116"/>
    <n v="7200"/>
  </r>
  <r>
    <x v="1"/>
    <d v="2023-02-12T08:50:16"/>
    <s v="Smart Watch"/>
    <n v="4"/>
    <n v="450"/>
    <s v="West"/>
    <s v="C0214"/>
    <n v="1800"/>
  </r>
  <r>
    <x v="1"/>
    <d v="2023-02-12T20:31:32"/>
    <s v="Headphones"/>
    <n v="5"/>
    <n v="150"/>
    <s v="West"/>
    <s v="C0469"/>
    <n v="750"/>
  </r>
  <r>
    <x v="1"/>
    <d v="2023-02-13T08:12:49"/>
    <s v="Headphones"/>
    <n v="6"/>
    <n v="3500"/>
    <s v="North"/>
    <s v="C0446"/>
    <n v="21000"/>
  </r>
  <r>
    <x v="1"/>
    <d v="2023-02-13T19:54:05"/>
    <s v="Laptop Bag"/>
    <n v="1"/>
    <n v="150"/>
    <s v="North"/>
    <s v="C0481"/>
    <n v="150"/>
  </r>
  <r>
    <x v="1"/>
    <d v="2023-02-14T07:35:21"/>
    <s v="Headphones"/>
    <n v="5"/>
    <n v="150"/>
    <s v="West"/>
    <s v="C0372"/>
    <n v="750"/>
  </r>
  <r>
    <x v="1"/>
    <d v="2023-02-14T19:16:37"/>
    <s v="Laptop Bag"/>
    <n v="6"/>
    <n v="1800"/>
    <s v="South"/>
    <s v="C0294"/>
    <n v="10800"/>
  </r>
  <r>
    <x v="1"/>
    <d v="2023-02-15T06:57:53"/>
    <s v="Mobile Cover"/>
    <n v="5"/>
    <n v="1800"/>
    <s v="North"/>
    <s v="C0253"/>
    <n v="9000"/>
  </r>
  <r>
    <x v="1"/>
    <d v="2023-02-15T18:39:09"/>
    <s v="Keyboard"/>
    <n v="4"/>
    <n v="450"/>
    <s v="East"/>
    <s v="C0143"/>
    <n v="1800"/>
  </r>
  <r>
    <x v="1"/>
    <d v="2023-02-16T06:20:25"/>
    <s v="Keyboard"/>
    <n v="1"/>
    <n v="1200"/>
    <s v="North"/>
    <s v="C0250"/>
    <n v="1200"/>
  </r>
  <r>
    <x v="1"/>
    <d v="2023-02-16T18:01:41"/>
    <s v="Keyboard"/>
    <n v="4"/>
    <n v="450"/>
    <s v="East"/>
    <s v="C0366"/>
    <n v="1800"/>
  </r>
  <r>
    <x v="1"/>
    <d v="2023-02-17T05:42:57"/>
    <s v="Headphones"/>
    <n v="1"/>
    <n v="700"/>
    <s v="West"/>
    <s v="C0436"/>
    <n v="700"/>
  </r>
  <r>
    <x v="1"/>
    <d v="2023-02-17T17:24:13"/>
    <s v="Mobile Cover"/>
    <n v="2"/>
    <n v="150"/>
    <s v="North"/>
    <s v="C0463"/>
    <n v="300"/>
  </r>
  <r>
    <x v="1"/>
    <d v="2023-02-18T05:05:29"/>
    <s v="Headphones"/>
    <n v="6"/>
    <n v="3500"/>
    <s v="South"/>
    <s v="C0302"/>
    <n v="21000"/>
  </r>
  <r>
    <x v="1"/>
    <d v="2023-02-18T16:46:45"/>
    <s v="Headphones"/>
    <n v="1"/>
    <n v="150"/>
    <s v="North"/>
    <s v="C0025"/>
    <n v="150"/>
  </r>
  <r>
    <x v="1"/>
    <d v="2023-02-19T04:28:01"/>
    <s v="Mobile Cover"/>
    <n v="4"/>
    <n v="150"/>
    <s v="North"/>
    <s v="C0277"/>
    <n v="600"/>
  </r>
  <r>
    <x v="1"/>
    <d v="2023-02-19T16:09:17"/>
    <s v="Mobile Cover"/>
    <n v="5"/>
    <n v="450"/>
    <s v="North"/>
    <s v="C0472"/>
    <n v="2250"/>
  </r>
  <r>
    <x v="1"/>
    <d v="2023-02-20T03:50:33"/>
    <s v="Mobile Cover"/>
    <n v="1"/>
    <n v="3500"/>
    <s v="West"/>
    <s v="C0377"/>
    <n v="3500"/>
  </r>
  <r>
    <x v="1"/>
    <d v="2023-02-20T15:31:49"/>
    <s v="Mobile Cover"/>
    <n v="6"/>
    <n v="3500"/>
    <s v="South"/>
    <s v="C0378"/>
    <n v="21000"/>
  </r>
  <r>
    <x v="1"/>
    <d v="2023-02-21T03:13:05"/>
    <s v="Keyboard"/>
    <n v="1"/>
    <n v="3500"/>
    <s v="North"/>
    <s v="C0389"/>
    <n v="3500"/>
  </r>
  <r>
    <x v="1"/>
    <d v="2023-02-21T14:54:21"/>
    <s v="Wireless Mouse"/>
    <n v="3"/>
    <n v="450"/>
    <s v="South"/>
    <s v="C0070"/>
    <n v="1350"/>
  </r>
  <r>
    <x v="1"/>
    <d v="2023-02-22T02:35:37"/>
    <s v="Wireless Mouse"/>
    <n v="5"/>
    <n v="150"/>
    <s v="West"/>
    <s v="C0113"/>
    <n v="750"/>
  </r>
  <r>
    <x v="1"/>
    <d v="2023-02-22T14:16:53"/>
    <s v="Mobile Cover"/>
    <n v="6"/>
    <n v="450"/>
    <s v="East"/>
    <s v="C0363"/>
    <n v="2700"/>
  </r>
  <r>
    <x v="1"/>
    <d v="2023-02-23T01:58:10"/>
    <s v="Wireless Mouse"/>
    <n v="6"/>
    <n v="1800"/>
    <s v="North"/>
    <s v="C0112"/>
    <n v="10800"/>
  </r>
  <r>
    <x v="1"/>
    <d v="2023-02-23T13:39:26"/>
    <s v="Wireless Mouse"/>
    <n v="2"/>
    <n v="1800"/>
    <s v="South"/>
    <s v="C0364"/>
    <n v="3600"/>
  </r>
  <r>
    <x v="1"/>
    <d v="2023-02-24T01:20:42"/>
    <s v="Mobile Cover"/>
    <n v="4"/>
    <n v="450"/>
    <s v="South"/>
    <s v="C0303"/>
    <n v="1800"/>
  </r>
  <r>
    <x v="1"/>
    <d v="2023-02-24T13:01:58"/>
    <s v="Wireless Mouse"/>
    <n v="2"/>
    <n v="3500"/>
    <s v="West"/>
    <s v="C0471"/>
    <n v="7000"/>
  </r>
  <r>
    <x v="1"/>
    <d v="2023-02-25T00:43:14"/>
    <s v="Headphones"/>
    <n v="6"/>
    <n v="150"/>
    <s v="North"/>
    <s v="C0452"/>
    <n v="900"/>
  </r>
  <r>
    <x v="1"/>
    <d v="2023-02-25T12:24:30"/>
    <s v="Laptop Bag"/>
    <n v="5"/>
    <n v="450"/>
    <s v="East"/>
    <s v="C0091"/>
    <n v="2250"/>
  </r>
  <r>
    <x v="1"/>
    <d v="2023-02-26T00:05:46"/>
    <s v="Laptop Bag"/>
    <n v="1"/>
    <n v="450"/>
    <s v="South"/>
    <s v="C0018"/>
    <n v="450"/>
  </r>
  <r>
    <x v="1"/>
    <d v="2023-02-26T11:47:02"/>
    <s v="Mobile Cover"/>
    <n v="1"/>
    <n v="450"/>
    <s v="North"/>
    <s v="C0149"/>
    <n v="450"/>
  </r>
  <r>
    <x v="1"/>
    <d v="2023-02-26T23:28:18"/>
    <s v="Keyboard"/>
    <n v="5"/>
    <n v="700"/>
    <s v="East"/>
    <s v="C0476"/>
    <n v="3500"/>
  </r>
  <r>
    <x v="1"/>
    <d v="2023-02-27T11:09:34"/>
    <s v="Mobile Cover"/>
    <n v="6"/>
    <n v="1800"/>
    <s v="South"/>
    <s v="C0227"/>
    <n v="10800"/>
  </r>
  <r>
    <x v="1"/>
    <d v="2023-02-27T22:50:50"/>
    <s v="Keyboard"/>
    <n v="1"/>
    <n v="3500"/>
    <s v="South"/>
    <s v="C0214"/>
    <n v="3500"/>
  </r>
  <r>
    <x v="1"/>
    <d v="2023-02-28T10:32:06"/>
    <s v="Laptop Bag"/>
    <n v="1"/>
    <n v="1200"/>
    <s v="East"/>
    <s v="C0360"/>
    <n v="1200"/>
  </r>
  <r>
    <x v="1"/>
    <d v="2023-02-28T22:13:22"/>
    <s v="Mobile Cover"/>
    <n v="1"/>
    <n v="3500"/>
    <s v="East"/>
    <s v="C0151"/>
    <n v="3500"/>
  </r>
  <r>
    <x v="2"/>
    <d v="2023-03-01T09:54:38"/>
    <s v="Smart Watch"/>
    <n v="4"/>
    <n v="1200"/>
    <s v="West"/>
    <s v="C0192"/>
    <n v="4800"/>
  </r>
  <r>
    <x v="2"/>
    <d v="2023-03-01T21:35:54"/>
    <s v="Headphones"/>
    <n v="4"/>
    <n v="700"/>
    <s v="North"/>
    <s v="C0451"/>
    <n v="2800"/>
  </r>
  <r>
    <x v="2"/>
    <d v="2023-03-02T09:17:10"/>
    <s v="Wireless Mouse"/>
    <n v="3"/>
    <n v="450"/>
    <s v="North"/>
    <s v="C0040"/>
    <n v="1350"/>
  </r>
  <r>
    <x v="2"/>
    <d v="2023-03-02T20:58:26"/>
    <s v="Keyboard"/>
    <n v="2"/>
    <n v="700"/>
    <s v="West"/>
    <s v="C0242"/>
    <n v="1400"/>
  </r>
  <r>
    <x v="2"/>
    <d v="2023-03-03T08:39:42"/>
    <s v="Smart Watch"/>
    <n v="5"/>
    <n v="700"/>
    <s v="South"/>
    <s v="C0138"/>
    <n v="3500"/>
  </r>
  <r>
    <x v="2"/>
    <d v="2023-03-03T20:20:58"/>
    <s v="Wireless Mouse"/>
    <n v="5"/>
    <n v="150"/>
    <s v="East"/>
    <s v="C0345"/>
    <n v="750"/>
  </r>
  <r>
    <x v="2"/>
    <d v="2023-03-04T08:02:14"/>
    <s v="Wireless Mouse"/>
    <n v="5"/>
    <n v="1800"/>
    <s v="East"/>
    <s v="C0180"/>
    <n v="9000"/>
  </r>
  <r>
    <x v="2"/>
    <d v="2023-03-04T19:43:31"/>
    <s v="Mobile Cover"/>
    <n v="3"/>
    <n v="1200"/>
    <s v="East"/>
    <s v="C0497"/>
    <n v="3600"/>
  </r>
  <r>
    <x v="2"/>
    <d v="2023-03-05T07:24:47"/>
    <s v="Wireless Mouse"/>
    <n v="4"/>
    <n v="450"/>
    <s v="South"/>
    <s v="C0200"/>
    <n v="1800"/>
  </r>
  <r>
    <x v="2"/>
    <d v="2023-03-05T19:06:03"/>
    <s v="Headphones"/>
    <n v="6"/>
    <n v="1200"/>
    <s v="East"/>
    <s v="C0203"/>
    <n v="7200"/>
  </r>
  <r>
    <x v="2"/>
    <d v="2023-03-06T06:47:19"/>
    <s v="Smart Watch"/>
    <n v="6"/>
    <n v="3500"/>
    <s v="East"/>
    <s v="C0061"/>
    <n v="21000"/>
  </r>
  <r>
    <x v="2"/>
    <d v="2023-03-06T18:28:35"/>
    <s v="Wireless Mouse"/>
    <n v="3"/>
    <n v="1200"/>
    <s v="West"/>
    <s v="C0192"/>
    <n v="3600"/>
  </r>
  <r>
    <x v="2"/>
    <d v="2023-03-07T06:09:51"/>
    <s v="Mobile Cover"/>
    <n v="6"/>
    <n v="3500"/>
    <s v="South"/>
    <s v="C0005"/>
    <n v="21000"/>
  </r>
  <r>
    <x v="2"/>
    <d v="2023-03-07T17:51:07"/>
    <s v="Headphones"/>
    <n v="5"/>
    <n v="1800"/>
    <s v="North"/>
    <s v="C0378"/>
    <n v="9000"/>
  </r>
  <r>
    <x v="2"/>
    <d v="2023-03-08T05:32:23"/>
    <s v="Laptop Bag"/>
    <n v="2"/>
    <n v="3500"/>
    <s v="West"/>
    <s v="C0237"/>
    <n v="7000"/>
  </r>
  <r>
    <x v="2"/>
    <d v="2023-03-08T17:13:39"/>
    <s v="Smart Watch"/>
    <n v="1"/>
    <n v="1200"/>
    <s v="West"/>
    <s v="C0181"/>
    <n v="1200"/>
  </r>
  <r>
    <x v="2"/>
    <d v="2023-03-09T04:54:55"/>
    <s v="Wireless Mouse"/>
    <n v="4"/>
    <n v="1200"/>
    <s v="North"/>
    <s v="C0311"/>
    <n v="4800"/>
  </r>
  <r>
    <x v="2"/>
    <d v="2023-03-09T16:36:11"/>
    <s v="Mobile Cover"/>
    <n v="4"/>
    <n v="3500"/>
    <s v="West"/>
    <s v="C0037"/>
    <n v="14000"/>
  </r>
  <r>
    <x v="2"/>
    <d v="2023-03-10T04:17:27"/>
    <s v="Laptop Bag"/>
    <n v="3"/>
    <n v="700"/>
    <s v="South"/>
    <s v="C0056"/>
    <n v="2100"/>
  </r>
  <r>
    <x v="2"/>
    <d v="2023-03-10T15:58:43"/>
    <s v="Laptop Bag"/>
    <n v="4"/>
    <n v="1800"/>
    <s v="East"/>
    <s v="C0443"/>
    <n v="7200"/>
  </r>
  <r>
    <x v="2"/>
    <d v="2023-03-11T03:39:59"/>
    <s v="Keyboard"/>
    <n v="5"/>
    <n v="150"/>
    <s v="South"/>
    <s v="C0237"/>
    <n v="750"/>
  </r>
  <r>
    <x v="2"/>
    <d v="2023-03-11T15:21:15"/>
    <s v="Headphones"/>
    <n v="6"/>
    <n v="450"/>
    <s v="North"/>
    <s v="C0358"/>
    <n v="2700"/>
  </r>
  <r>
    <x v="2"/>
    <d v="2023-03-12T03:02:31"/>
    <s v="Wireless Mouse"/>
    <n v="5"/>
    <n v="1200"/>
    <s v="North"/>
    <s v="C0349"/>
    <n v="6000"/>
  </r>
  <r>
    <x v="2"/>
    <d v="2023-03-12T14:43:47"/>
    <s v="Mobile Cover"/>
    <n v="3"/>
    <n v="450"/>
    <s v="West"/>
    <s v="C0197"/>
    <n v="1350"/>
  </r>
  <r>
    <x v="2"/>
    <d v="2023-03-13T02:25:03"/>
    <s v="Keyboard"/>
    <n v="5"/>
    <n v="150"/>
    <s v="South"/>
    <s v="C0073"/>
    <n v="750"/>
  </r>
  <r>
    <x v="2"/>
    <d v="2023-03-13T14:06:19"/>
    <s v="Headphones"/>
    <n v="6"/>
    <n v="450"/>
    <s v="South"/>
    <s v="C0059"/>
    <n v="2700"/>
  </r>
  <r>
    <x v="2"/>
    <d v="2023-03-14T01:47:36"/>
    <s v="Keyboard"/>
    <n v="2"/>
    <n v="150"/>
    <s v="North"/>
    <s v="C0240"/>
    <n v="300"/>
  </r>
  <r>
    <x v="2"/>
    <d v="2023-03-14T13:28:52"/>
    <s v="Smart Watch"/>
    <n v="3"/>
    <n v="3500"/>
    <s v="South"/>
    <s v="C0002"/>
    <n v="10500"/>
  </r>
  <r>
    <x v="2"/>
    <d v="2023-03-15T01:10:08"/>
    <s v="Headphones"/>
    <n v="2"/>
    <n v="700"/>
    <s v="North"/>
    <s v="C0449"/>
    <n v="1400"/>
  </r>
  <r>
    <x v="2"/>
    <d v="2023-03-15T12:51:24"/>
    <s v="Headphones"/>
    <n v="1"/>
    <n v="1200"/>
    <s v="South"/>
    <s v="C0360"/>
    <n v="1200"/>
  </r>
  <r>
    <x v="2"/>
    <d v="2023-03-16T00:32:40"/>
    <s v="Wireless Mouse"/>
    <n v="2"/>
    <n v="150"/>
    <s v="South"/>
    <s v="C0188"/>
    <n v="300"/>
  </r>
  <r>
    <x v="2"/>
    <d v="2023-03-16T12:13:56"/>
    <s v="Headphones"/>
    <n v="1"/>
    <n v="450"/>
    <s v="South"/>
    <s v="C0307"/>
    <n v="450"/>
  </r>
  <r>
    <x v="2"/>
    <d v="2023-03-16T23:55:12"/>
    <s v="Keyboard"/>
    <n v="1"/>
    <n v="1200"/>
    <s v="North"/>
    <s v="C0030"/>
    <n v="1200"/>
  </r>
  <r>
    <x v="2"/>
    <d v="2023-03-17T11:36:28"/>
    <s v="Headphones"/>
    <n v="2"/>
    <n v="700"/>
    <s v="West"/>
    <s v="C0267"/>
    <n v="1400"/>
  </r>
  <r>
    <x v="2"/>
    <d v="2023-03-17T23:17:44"/>
    <s v="Wireless Mouse"/>
    <n v="3"/>
    <n v="3500"/>
    <s v="South"/>
    <s v="C0476"/>
    <n v="10500"/>
  </r>
  <r>
    <x v="2"/>
    <d v="2023-03-18T10:59:00"/>
    <s v="Wireless Mouse"/>
    <n v="6"/>
    <n v="1200"/>
    <s v="North"/>
    <s v="C0108"/>
    <n v="7200"/>
  </r>
  <r>
    <x v="2"/>
    <d v="2023-03-18T22:40:16"/>
    <s v="Smart Watch"/>
    <n v="5"/>
    <n v="150"/>
    <s v="North"/>
    <s v="C0332"/>
    <n v="750"/>
  </r>
  <r>
    <x v="2"/>
    <d v="2023-03-19T10:21:32"/>
    <s v="Keyboard"/>
    <n v="5"/>
    <n v="700"/>
    <s v="South"/>
    <s v="C0423"/>
    <n v="3500"/>
  </r>
  <r>
    <x v="2"/>
    <d v="2023-03-19T22:02:48"/>
    <s v="Laptop Bag"/>
    <n v="6"/>
    <n v="450"/>
    <s v="South"/>
    <s v="C0090"/>
    <n v="2700"/>
  </r>
  <r>
    <x v="2"/>
    <d v="2023-03-20T09:44:04"/>
    <s v="Laptop Bag"/>
    <n v="1"/>
    <n v="700"/>
    <s v="West"/>
    <s v="C0205"/>
    <n v="700"/>
  </r>
  <r>
    <x v="2"/>
    <d v="2023-03-20T21:25:20"/>
    <s v="Headphones"/>
    <n v="1"/>
    <n v="700"/>
    <s v="North"/>
    <s v="C0379"/>
    <n v="700"/>
  </r>
  <r>
    <x v="2"/>
    <d v="2023-03-21T09:06:36"/>
    <s v="Smart Watch"/>
    <n v="3"/>
    <n v="1800"/>
    <s v="North"/>
    <s v="C0456"/>
    <n v="5400"/>
  </r>
  <r>
    <x v="2"/>
    <d v="2023-03-21T20:47:52"/>
    <s v="Mobile Cover"/>
    <n v="4"/>
    <n v="700"/>
    <s v="East"/>
    <s v="C0447"/>
    <n v="2800"/>
  </r>
  <r>
    <x v="2"/>
    <d v="2023-03-22T08:29:08"/>
    <s v="Headphones"/>
    <n v="2"/>
    <n v="700"/>
    <s v="North"/>
    <s v="C0448"/>
    <n v="1400"/>
  </r>
  <r>
    <x v="2"/>
    <d v="2023-03-22T20:10:24"/>
    <s v="Smart Watch"/>
    <n v="1"/>
    <n v="1200"/>
    <s v="West"/>
    <s v="C0445"/>
    <n v="1200"/>
  </r>
  <r>
    <x v="2"/>
    <d v="2023-03-23T07:51:40"/>
    <s v="Keyboard"/>
    <n v="5"/>
    <n v="450"/>
    <s v="East"/>
    <s v="C0381"/>
    <n v="2250"/>
  </r>
  <r>
    <x v="2"/>
    <d v="2023-03-23T19:32:57"/>
    <s v="Keyboard"/>
    <n v="3"/>
    <n v="1200"/>
    <s v="East"/>
    <s v="C0438"/>
    <n v="3600"/>
  </r>
  <r>
    <x v="2"/>
    <d v="2023-03-24T07:14:13"/>
    <s v="Keyboard"/>
    <n v="2"/>
    <n v="1200"/>
    <s v="East"/>
    <s v="C0220"/>
    <n v="2400"/>
  </r>
  <r>
    <x v="2"/>
    <d v="2023-03-24T18:55:29"/>
    <s v="Keyboard"/>
    <n v="3"/>
    <n v="150"/>
    <s v="South"/>
    <s v="C0378"/>
    <n v="450"/>
  </r>
  <r>
    <x v="2"/>
    <d v="2023-03-25T06:36:45"/>
    <s v="Keyboard"/>
    <n v="2"/>
    <n v="1200"/>
    <s v="South"/>
    <s v="C0094"/>
    <n v="2400"/>
  </r>
  <r>
    <x v="2"/>
    <d v="2023-03-25T18:18:01"/>
    <s v="Smart Watch"/>
    <n v="2"/>
    <n v="1800"/>
    <s v="North"/>
    <s v="C0457"/>
    <n v="3600"/>
  </r>
  <r>
    <x v="2"/>
    <d v="2023-03-26T05:59:17"/>
    <s v="Smart Watch"/>
    <n v="6"/>
    <n v="1800"/>
    <s v="East"/>
    <s v="C0103"/>
    <n v="10800"/>
  </r>
  <r>
    <x v="2"/>
    <d v="2023-03-26T17:40:33"/>
    <s v="Wireless Mouse"/>
    <n v="1"/>
    <n v="150"/>
    <s v="West"/>
    <s v="C0223"/>
    <n v="150"/>
  </r>
  <r>
    <x v="2"/>
    <d v="2023-03-27T05:21:49"/>
    <s v="Laptop Bag"/>
    <n v="3"/>
    <n v="3500"/>
    <s v="South"/>
    <s v="C0186"/>
    <n v="10500"/>
  </r>
  <r>
    <x v="2"/>
    <d v="2023-03-27T17:03:05"/>
    <s v="Keyboard"/>
    <n v="3"/>
    <n v="450"/>
    <s v="West"/>
    <s v="C0469"/>
    <n v="1350"/>
  </r>
  <r>
    <x v="2"/>
    <d v="2023-03-28T04:44:21"/>
    <s v="Mobile Cover"/>
    <n v="6"/>
    <n v="450"/>
    <s v="West"/>
    <s v="C0184"/>
    <n v="2700"/>
  </r>
  <r>
    <x v="2"/>
    <d v="2023-03-28T16:25:37"/>
    <s v="Smart Watch"/>
    <n v="5"/>
    <n v="1200"/>
    <s v="South"/>
    <s v="C0495"/>
    <n v="6000"/>
  </r>
  <r>
    <x v="2"/>
    <d v="2023-03-29T04:06:53"/>
    <s v="Mobile Cover"/>
    <n v="5"/>
    <n v="1200"/>
    <s v="South"/>
    <s v="C0162"/>
    <n v="6000"/>
  </r>
  <r>
    <x v="2"/>
    <d v="2023-03-29T15:48:09"/>
    <s v="Mobile Cover"/>
    <n v="1"/>
    <n v="3500"/>
    <s v="South"/>
    <s v="C0247"/>
    <n v="3500"/>
  </r>
  <r>
    <x v="2"/>
    <d v="2023-03-30T03:29:25"/>
    <s v="Mobile Cover"/>
    <n v="1"/>
    <n v="1200"/>
    <s v="South"/>
    <s v="C0031"/>
    <n v="1200"/>
  </r>
  <r>
    <x v="2"/>
    <d v="2023-03-30T15:10:41"/>
    <s v="Wireless Mouse"/>
    <n v="4"/>
    <n v="450"/>
    <s v="East"/>
    <s v="C0052"/>
    <n v="1800"/>
  </r>
  <r>
    <x v="2"/>
    <d v="2023-03-31T02:51:57"/>
    <s v="Smart Watch"/>
    <n v="6"/>
    <n v="700"/>
    <s v="East"/>
    <s v="C0345"/>
    <n v="4200"/>
  </r>
  <r>
    <x v="2"/>
    <d v="2023-03-31T14:33:13"/>
    <s v="Mobile Cover"/>
    <n v="5"/>
    <n v="1800"/>
    <s v="East"/>
    <s v="C0076"/>
    <n v="9000"/>
  </r>
  <r>
    <x v="3"/>
    <d v="2023-04-01T02:14:29"/>
    <s v="Keyboard"/>
    <n v="2"/>
    <n v="700"/>
    <s v="East"/>
    <s v="C0385"/>
    <n v="1400"/>
  </r>
  <r>
    <x v="3"/>
    <d v="2023-04-01T13:55:45"/>
    <s v="Headphones"/>
    <n v="3"/>
    <n v="700"/>
    <s v="North"/>
    <s v="C0439"/>
    <n v="2100"/>
  </r>
  <r>
    <x v="3"/>
    <d v="2023-04-02T01:37:01"/>
    <s v="Mobile Cover"/>
    <n v="1"/>
    <n v="450"/>
    <s v="East"/>
    <s v="C0278"/>
    <n v="450"/>
  </r>
  <r>
    <x v="3"/>
    <d v="2023-04-02T13:18:18"/>
    <s v="Wireless Mouse"/>
    <n v="3"/>
    <n v="700"/>
    <s v="South"/>
    <s v="C0040"/>
    <n v="2100"/>
  </r>
  <r>
    <x v="3"/>
    <d v="2023-04-03T00:59:34"/>
    <s v="Smart Watch"/>
    <n v="3"/>
    <n v="3500"/>
    <s v="West"/>
    <s v="C0101"/>
    <n v="10500"/>
  </r>
  <r>
    <x v="3"/>
    <d v="2023-04-03T12:40:50"/>
    <s v="Wireless Mouse"/>
    <n v="4"/>
    <n v="150"/>
    <s v="East"/>
    <s v="C0111"/>
    <n v="600"/>
  </r>
  <r>
    <x v="3"/>
    <d v="2023-04-04T00:22:06"/>
    <s v="Mobile Cover"/>
    <n v="5"/>
    <n v="1200"/>
    <s v="North"/>
    <s v="C0385"/>
    <n v="6000"/>
  </r>
  <r>
    <x v="3"/>
    <d v="2023-04-04T12:03:22"/>
    <s v="Smart Watch"/>
    <n v="1"/>
    <n v="150"/>
    <s v="South"/>
    <s v="C0321"/>
    <n v="150"/>
  </r>
  <r>
    <x v="3"/>
    <d v="2023-04-04T23:44:38"/>
    <s v="Headphones"/>
    <n v="3"/>
    <n v="1800"/>
    <s v="West"/>
    <s v="C0249"/>
    <n v="5400"/>
  </r>
  <r>
    <x v="3"/>
    <d v="2023-04-05T11:25:54"/>
    <s v="Mobile Cover"/>
    <n v="1"/>
    <n v="1200"/>
    <s v="West"/>
    <s v="C0191"/>
    <n v="1200"/>
  </r>
  <r>
    <x v="3"/>
    <d v="2023-04-05T23:07:10"/>
    <s v="Wireless Mouse"/>
    <n v="2"/>
    <n v="700"/>
    <s v="East"/>
    <s v="C0490"/>
    <n v="1400"/>
  </r>
  <r>
    <x v="3"/>
    <d v="2023-04-06T10:48:26"/>
    <s v="Laptop Bag"/>
    <n v="4"/>
    <n v="1800"/>
    <s v="West"/>
    <s v="C0182"/>
    <n v="7200"/>
  </r>
  <r>
    <x v="3"/>
    <d v="2023-04-06T22:29:42"/>
    <s v="Keyboard"/>
    <n v="2"/>
    <n v="1200"/>
    <s v="East"/>
    <s v="C0426"/>
    <n v="2400"/>
  </r>
  <r>
    <x v="3"/>
    <d v="2023-04-07T10:10:58"/>
    <s v="Wireless Mouse"/>
    <n v="1"/>
    <n v="3500"/>
    <s v="East"/>
    <s v="C0405"/>
    <n v="3500"/>
  </r>
  <r>
    <x v="3"/>
    <d v="2023-04-07T21:52:14"/>
    <s v="Smart Watch"/>
    <n v="1"/>
    <n v="3500"/>
    <s v="South"/>
    <s v="C0335"/>
    <n v="3500"/>
  </r>
  <r>
    <x v="3"/>
    <d v="2023-04-08T09:33:30"/>
    <s v="Mobile Cover"/>
    <n v="5"/>
    <n v="3500"/>
    <s v="South"/>
    <s v="C0209"/>
    <n v="17500"/>
  </r>
  <r>
    <x v="3"/>
    <d v="2023-04-08T21:14:46"/>
    <s v="Keyboard"/>
    <n v="3"/>
    <n v="3500"/>
    <s v="North"/>
    <s v="C0022"/>
    <n v="10500"/>
  </r>
  <r>
    <x v="3"/>
    <d v="2023-04-09T08:56:02"/>
    <s v="Mobile Cover"/>
    <n v="3"/>
    <n v="700"/>
    <s v="South"/>
    <s v="C0166"/>
    <n v="2100"/>
  </r>
  <r>
    <x v="3"/>
    <d v="2023-04-09T20:37:18"/>
    <s v="Smart Watch"/>
    <n v="2"/>
    <n v="150"/>
    <s v="South"/>
    <s v="C0099"/>
    <n v="300"/>
  </r>
  <r>
    <x v="3"/>
    <d v="2023-04-10T08:18:34"/>
    <s v="Mobile Cover"/>
    <n v="4"/>
    <n v="1200"/>
    <s v="East"/>
    <s v="C0493"/>
    <n v="4800"/>
  </r>
  <r>
    <x v="3"/>
    <d v="2023-04-10T19:59:50"/>
    <s v="Laptop Bag"/>
    <n v="6"/>
    <n v="700"/>
    <s v="South"/>
    <s v="C0208"/>
    <n v="4200"/>
  </r>
  <r>
    <x v="3"/>
    <d v="2023-04-11T07:41:06"/>
    <s v="Keyboard"/>
    <n v="3"/>
    <n v="3500"/>
    <s v="East"/>
    <s v="C0008"/>
    <n v="10500"/>
  </r>
  <r>
    <x v="3"/>
    <d v="2023-04-11T19:22:22"/>
    <s v="Keyboard"/>
    <n v="5"/>
    <n v="150"/>
    <s v="East"/>
    <s v="C0190"/>
    <n v="750"/>
  </r>
  <r>
    <x v="3"/>
    <d v="2023-04-12T07:03:39"/>
    <s v="Smart Watch"/>
    <n v="2"/>
    <n v="1800"/>
    <s v="South"/>
    <s v="C0175"/>
    <n v="3600"/>
  </r>
  <r>
    <x v="3"/>
    <d v="2023-04-12T18:44:55"/>
    <s v="Laptop Bag"/>
    <n v="2"/>
    <n v="1800"/>
    <s v="North"/>
    <s v="C0273"/>
    <n v="3600"/>
  </r>
  <r>
    <x v="3"/>
    <d v="2023-04-13T06:26:11"/>
    <s v="Wireless Mouse"/>
    <n v="6"/>
    <n v="1800"/>
    <s v="North"/>
    <s v="C0017"/>
    <n v="10800"/>
  </r>
  <r>
    <x v="3"/>
    <d v="2023-04-13T18:07:27"/>
    <s v="Mobile Cover"/>
    <n v="5"/>
    <n v="3500"/>
    <s v="West"/>
    <s v="C0090"/>
    <n v="17500"/>
  </r>
  <r>
    <x v="3"/>
    <d v="2023-04-14T05:48:43"/>
    <s v="Headphones"/>
    <n v="4"/>
    <n v="1800"/>
    <s v="West"/>
    <s v="C0141"/>
    <n v="7200"/>
  </r>
  <r>
    <x v="3"/>
    <d v="2023-04-14T17:29:59"/>
    <s v="Mobile Cover"/>
    <n v="5"/>
    <n v="450"/>
    <s v="South"/>
    <s v="C0145"/>
    <n v="2250"/>
  </r>
  <r>
    <x v="3"/>
    <d v="2023-04-15T05:11:15"/>
    <s v="Mobile Cover"/>
    <n v="4"/>
    <n v="1200"/>
    <s v="North"/>
    <s v="C0166"/>
    <n v="4800"/>
  </r>
  <r>
    <x v="3"/>
    <d v="2023-04-15T16:52:31"/>
    <s v="Wireless Mouse"/>
    <n v="5"/>
    <n v="1200"/>
    <s v="East"/>
    <s v="C0337"/>
    <n v="6000"/>
  </r>
  <r>
    <x v="3"/>
    <d v="2023-04-16T04:33:47"/>
    <s v="Mobile Cover"/>
    <n v="5"/>
    <n v="3500"/>
    <s v="West"/>
    <s v="C0496"/>
    <n v="17500"/>
  </r>
  <r>
    <x v="3"/>
    <d v="2023-04-16T16:15:03"/>
    <s v="Laptop Bag"/>
    <n v="1"/>
    <n v="450"/>
    <s v="East"/>
    <s v="C0078"/>
    <n v="450"/>
  </r>
  <r>
    <x v="3"/>
    <d v="2023-04-17T03:56:19"/>
    <s v="Laptop Bag"/>
    <n v="2"/>
    <n v="700"/>
    <s v="West"/>
    <s v="C0429"/>
    <n v="1400"/>
  </r>
  <r>
    <x v="3"/>
    <d v="2023-04-17T15:37:35"/>
    <s v="Keyboard"/>
    <n v="5"/>
    <n v="700"/>
    <s v="South"/>
    <s v="C0262"/>
    <n v="3500"/>
  </r>
  <r>
    <x v="3"/>
    <d v="2023-04-18T03:18:51"/>
    <s v="Smart Watch"/>
    <n v="6"/>
    <n v="1800"/>
    <s v="North"/>
    <s v="C0163"/>
    <n v="10800"/>
  </r>
  <r>
    <x v="3"/>
    <d v="2023-04-18T15:00:07"/>
    <s v="Headphones"/>
    <n v="5"/>
    <n v="150"/>
    <s v="West"/>
    <s v="C0366"/>
    <n v="750"/>
  </r>
  <r>
    <x v="3"/>
    <d v="2023-04-19T02:41:23"/>
    <s v="Mobile Cover"/>
    <n v="3"/>
    <n v="700"/>
    <s v="North"/>
    <s v="C0014"/>
    <n v="2100"/>
  </r>
  <r>
    <x v="3"/>
    <d v="2023-04-19T14:22:39"/>
    <s v="Mobile Cover"/>
    <n v="2"/>
    <n v="150"/>
    <s v="East"/>
    <s v="C0239"/>
    <n v="300"/>
  </r>
  <r>
    <x v="3"/>
    <d v="2023-04-20T02:03:55"/>
    <s v="Wireless Mouse"/>
    <n v="3"/>
    <n v="1200"/>
    <s v="South"/>
    <s v="C0072"/>
    <n v="3600"/>
  </r>
  <r>
    <x v="3"/>
    <d v="2023-04-20T13:45:11"/>
    <s v="Smart Watch"/>
    <n v="2"/>
    <n v="150"/>
    <s v="North"/>
    <s v="C0445"/>
    <n v="300"/>
  </r>
  <r>
    <x v="3"/>
    <d v="2023-04-21T01:26:27"/>
    <s v="Laptop Bag"/>
    <n v="3"/>
    <n v="1200"/>
    <s v="South"/>
    <s v="C0143"/>
    <n v="3600"/>
  </r>
  <r>
    <x v="3"/>
    <d v="2023-04-21T13:07:44"/>
    <s v="Headphones"/>
    <n v="5"/>
    <n v="450"/>
    <s v="North"/>
    <s v="C0310"/>
    <n v="2250"/>
  </r>
  <r>
    <x v="3"/>
    <d v="2023-04-22T00:49:00"/>
    <s v="Keyboard"/>
    <n v="5"/>
    <n v="450"/>
    <s v="East"/>
    <s v="C0283"/>
    <n v="2250"/>
  </r>
  <r>
    <x v="3"/>
    <d v="2023-04-22T12:30:16"/>
    <s v="Laptop Bag"/>
    <n v="1"/>
    <n v="3500"/>
    <s v="East"/>
    <s v="C0269"/>
    <n v="3500"/>
  </r>
  <r>
    <x v="3"/>
    <d v="2023-04-23T00:11:32"/>
    <s v="Smart Watch"/>
    <n v="6"/>
    <n v="3500"/>
    <s v="South"/>
    <s v="C0241"/>
    <n v="21000"/>
  </r>
  <r>
    <x v="3"/>
    <d v="2023-04-23T11:52:48"/>
    <s v="Keyboard"/>
    <n v="3"/>
    <n v="1800"/>
    <s v="East"/>
    <s v="C0415"/>
    <n v="5400"/>
  </r>
  <r>
    <x v="3"/>
    <d v="2023-04-23T23:34:04"/>
    <s v="Wireless Mouse"/>
    <n v="4"/>
    <n v="700"/>
    <s v="West"/>
    <s v="C0245"/>
    <n v="2800"/>
  </r>
  <r>
    <x v="3"/>
    <d v="2023-04-24T11:15:20"/>
    <s v="Wireless Mouse"/>
    <n v="1"/>
    <n v="1800"/>
    <s v="North"/>
    <s v="C0163"/>
    <n v="1800"/>
  </r>
  <r>
    <x v="3"/>
    <d v="2023-04-24T22:56:36"/>
    <s v="Mobile Cover"/>
    <n v="3"/>
    <n v="1200"/>
    <s v="East"/>
    <s v="C0060"/>
    <n v="3600"/>
  </r>
  <r>
    <x v="3"/>
    <d v="2023-04-25T10:37:52"/>
    <s v="Smart Watch"/>
    <n v="3"/>
    <n v="1800"/>
    <s v="West"/>
    <s v="C0006"/>
    <n v="5400"/>
  </r>
  <r>
    <x v="3"/>
    <d v="2023-04-25T22:19:08"/>
    <s v="Headphones"/>
    <n v="1"/>
    <n v="150"/>
    <s v="South"/>
    <s v="C0197"/>
    <n v="150"/>
  </r>
  <r>
    <x v="3"/>
    <d v="2023-04-26T10:00:24"/>
    <s v="Keyboard"/>
    <n v="5"/>
    <n v="1200"/>
    <s v="West"/>
    <s v="C0470"/>
    <n v="6000"/>
  </r>
  <r>
    <x v="3"/>
    <d v="2023-04-26T21:41:40"/>
    <s v="Laptop Bag"/>
    <n v="3"/>
    <n v="3500"/>
    <s v="South"/>
    <s v="C0058"/>
    <n v="10500"/>
  </r>
  <r>
    <x v="3"/>
    <d v="2023-04-27T09:22:56"/>
    <s v="Smart Watch"/>
    <n v="5"/>
    <n v="450"/>
    <s v="South"/>
    <s v="C0305"/>
    <n v="2250"/>
  </r>
  <r>
    <x v="3"/>
    <d v="2023-04-27T21:04:12"/>
    <s v="Smart Watch"/>
    <n v="1"/>
    <n v="3500"/>
    <s v="North"/>
    <s v="C0407"/>
    <n v="3500"/>
  </r>
  <r>
    <x v="3"/>
    <d v="2023-04-28T08:45:28"/>
    <s v="Wireless Mouse"/>
    <n v="5"/>
    <n v="700"/>
    <s v="North"/>
    <s v="C0217"/>
    <n v="3500"/>
  </r>
  <r>
    <x v="3"/>
    <d v="2023-04-28T20:26:44"/>
    <s v="Mobile Cover"/>
    <n v="2"/>
    <n v="1200"/>
    <s v="West"/>
    <s v="C0418"/>
    <n v="2400"/>
  </r>
  <r>
    <x v="3"/>
    <d v="2023-04-29T08:08:00"/>
    <s v="Mobile Cover"/>
    <n v="4"/>
    <n v="1200"/>
    <s v="North"/>
    <s v="C0026"/>
    <n v="4800"/>
  </r>
  <r>
    <x v="3"/>
    <d v="2023-04-29T19:49:16"/>
    <s v="Keyboard"/>
    <n v="3"/>
    <n v="150"/>
    <s v="North"/>
    <s v="C0303"/>
    <n v="450"/>
  </r>
  <r>
    <x v="3"/>
    <d v="2023-04-30T07:30:32"/>
    <s v="Wireless Mouse"/>
    <n v="6"/>
    <n v="700"/>
    <s v="North"/>
    <s v="C0005"/>
    <n v="4200"/>
  </r>
  <r>
    <x v="3"/>
    <d v="2023-04-30T19:11:48"/>
    <s v="Smart Watch"/>
    <n v="4"/>
    <n v="450"/>
    <s v="West"/>
    <s v="C0474"/>
    <n v="1800"/>
  </r>
  <r>
    <x v="4"/>
    <d v="2023-05-01T06:53:05"/>
    <s v="Headphones"/>
    <n v="5"/>
    <n v="1200"/>
    <s v="East"/>
    <s v="C0020"/>
    <n v="6000"/>
  </r>
  <r>
    <x v="4"/>
    <d v="2023-05-01T18:34:21"/>
    <s v="Wireless Mouse"/>
    <n v="3"/>
    <n v="1200"/>
    <s v="North"/>
    <s v="C0390"/>
    <n v="3600"/>
  </r>
  <r>
    <x v="4"/>
    <d v="2023-05-02T06:15:37"/>
    <s v="Keyboard"/>
    <n v="5"/>
    <n v="150"/>
    <s v="North"/>
    <s v="C0198"/>
    <n v="750"/>
  </r>
  <r>
    <x v="4"/>
    <d v="2023-05-02T17:56:53"/>
    <s v="Keyboard"/>
    <n v="2"/>
    <n v="1800"/>
    <s v="West"/>
    <s v="C0059"/>
    <n v="3600"/>
  </r>
  <r>
    <x v="4"/>
    <d v="2023-05-03T05:38:09"/>
    <s v="Wireless Mouse"/>
    <n v="1"/>
    <n v="450"/>
    <s v="East"/>
    <s v="C0448"/>
    <n v="450"/>
  </r>
  <r>
    <x v="4"/>
    <d v="2023-05-03T17:19:25"/>
    <s v="Keyboard"/>
    <n v="3"/>
    <n v="3500"/>
    <s v="North"/>
    <s v="C0242"/>
    <n v="10500"/>
  </r>
  <r>
    <x v="4"/>
    <d v="2023-05-04T05:00:41"/>
    <s v="Wireless Mouse"/>
    <n v="2"/>
    <n v="700"/>
    <s v="South"/>
    <s v="C0146"/>
    <n v="1400"/>
  </r>
  <r>
    <x v="4"/>
    <d v="2023-05-04T16:41:57"/>
    <s v="Laptop Bag"/>
    <n v="2"/>
    <n v="1200"/>
    <s v="West"/>
    <s v="C0388"/>
    <n v="2400"/>
  </r>
  <r>
    <x v="4"/>
    <d v="2023-05-05T04:23:13"/>
    <s v="Wireless Mouse"/>
    <n v="3"/>
    <n v="1200"/>
    <s v="North"/>
    <s v="C0273"/>
    <n v="3600"/>
  </r>
  <r>
    <x v="4"/>
    <d v="2023-05-05T16:04:29"/>
    <s v="Wireless Mouse"/>
    <n v="5"/>
    <n v="3500"/>
    <s v="North"/>
    <s v="C0249"/>
    <n v="17500"/>
  </r>
  <r>
    <x v="4"/>
    <d v="2023-05-06T03:45:45"/>
    <s v="Keyboard"/>
    <n v="6"/>
    <n v="450"/>
    <s v="South"/>
    <s v="C0014"/>
    <n v="2700"/>
  </r>
  <r>
    <x v="4"/>
    <d v="2023-05-06T15:27:01"/>
    <s v="Keyboard"/>
    <n v="2"/>
    <n v="1800"/>
    <s v="South"/>
    <s v="C0462"/>
    <n v="3600"/>
  </r>
  <r>
    <x v="4"/>
    <d v="2023-05-07T03:08:17"/>
    <s v="Mobile Cover"/>
    <n v="4"/>
    <n v="1200"/>
    <s v="West"/>
    <s v="C0013"/>
    <n v="4800"/>
  </r>
  <r>
    <x v="4"/>
    <d v="2023-05-07T14:49:33"/>
    <s v="Mobile Cover"/>
    <n v="2"/>
    <n v="450"/>
    <s v="West"/>
    <s v="C0391"/>
    <n v="900"/>
  </r>
  <r>
    <x v="4"/>
    <d v="2023-05-08T02:30:49"/>
    <s v="Laptop Bag"/>
    <n v="6"/>
    <n v="3500"/>
    <s v="South"/>
    <s v="C0384"/>
    <n v="21000"/>
  </r>
  <r>
    <x v="4"/>
    <d v="2023-05-08T14:12:05"/>
    <s v="Mobile Cover"/>
    <n v="5"/>
    <n v="150"/>
    <s v="West"/>
    <s v="C0044"/>
    <n v="750"/>
  </r>
  <r>
    <x v="4"/>
    <d v="2023-05-09T01:53:21"/>
    <s v="Wireless Mouse"/>
    <n v="5"/>
    <n v="1800"/>
    <s v="South"/>
    <s v="C0375"/>
    <n v="9000"/>
  </r>
  <r>
    <x v="4"/>
    <d v="2023-05-09T13:34:37"/>
    <s v="Keyboard"/>
    <n v="4"/>
    <n v="700"/>
    <s v="North"/>
    <s v="C0399"/>
    <n v="2800"/>
  </r>
  <r>
    <x v="4"/>
    <d v="2023-05-10T01:15:53"/>
    <s v="Mobile Cover"/>
    <n v="2"/>
    <n v="1200"/>
    <s v="South"/>
    <s v="C0019"/>
    <n v="2400"/>
  </r>
  <r>
    <x v="4"/>
    <d v="2023-05-10T12:57:09"/>
    <s v="Mobile Cover"/>
    <n v="5"/>
    <n v="450"/>
    <s v="South"/>
    <s v="C0063"/>
    <n v="2250"/>
  </r>
  <r>
    <x v="4"/>
    <d v="2023-05-11T00:38:26"/>
    <s v="Laptop Bag"/>
    <n v="6"/>
    <n v="150"/>
    <s v="East"/>
    <s v="C0491"/>
    <n v="900"/>
  </r>
  <r>
    <x v="4"/>
    <d v="2023-05-11T12:19:42"/>
    <s v="Smart Watch"/>
    <n v="3"/>
    <n v="700"/>
    <s v="South"/>
    <s v="C0239"/>
    <n v="2100"/>
  </r>
  <r>
    <x v="4"/>
    <d v="2023-05-12T00:00:58"/>
    <s v="Laptop Bag"/>
    <n v="1"/>
    <n v="450"/>
    <s v="South"/>
    <s v="C0492"/>
    <n v="450"/>
  </r>
  <r>
    <x v="4"/>
    <d v="2023-05-12T11:42:14"/>
    <s v="Wireless Mouse"/>
    <n v="1"/>
    <n v="450"/>
    <s v="East"/>
    <s v="C0419"/>
    <n v="450"/>
  </r>
  <r>
    <x v="4"/>
    <d v="2023-05-12T23:23:30"/>
    <s v="Keyboard"/>
    <n v="1"/>
    <n v="700"/>
    <s v="West"/>
    <s v="C0337"/>
    <n v="700"/>
  </r>
  <r>
    <x v="4"/>
    <d v="2023-05-13T11:04:46"/>
    <s v="Laptop Bag"/>
    <n v="2"/>
    <n v="150"/>
    <s v="East"/>
    <s v="C0419"/>
    <n v="300"/>
  </r>
  <r>
    <x v="4"/>
    <d v="2023-05-13T22:46:02"/>
    <s v="Mobile Cover"/>
    <n v="4"/>
    <n v="3500"/>
    <s v="North"/>
    <s v="C0403"/>
    <n v="14000"/>
  </r>
  <r>
    <x v="4"/>
    <d v="2023-05-14T10:27:18"/>
    <s v="Keyboard"/>
    <n v="5"/>
    <n v="150"/>
    <s v="East"/>
    <s v="C0404"/>
    <n v="750"/>
  </r>
  <r>
    <x v="4"/>
    <d v="2023-05-14T22:08:34"/>
    <s v="Keyboard"/>
    <n v="3"/>
    <n v="1800"/>
    <s v="North"/>
    <s v="C0100"/>
    <n v="5400"/>
  </r>
  <r>
    <x v="4"/>
    <d v="2023-05-15T09:49:50"/>
    <s v="Mobile Cover"/>
    <n v="6"/>
    <n v="1200"/>
    <s v="West"/>
    <s v="C0163"/>
    <n v="7200"/>
  </r>
  <r>
    <x v="4"/>
    <d v="2023-05-15T21:31:06"/>
    <s v="Laptop Bag"/>
    <n v="3"/>
    <n v="700"/>
    <s v="East"/>
    <s v="C0416"/>
    <n v="2100"/>
  </r>
  <r>
    <x v="4"/>
    <d v="2023-05-16T09:12:22"/>
    <s v="Mobile Cover"/>
    <n v="6"/>
    <n v="3500"/>
    <s v="East"/>
    <s v="C0122"/>
    <n v="21000"/>
  </r>
  <r>
    <x v="4"/>
    <d v="2023-05-16T20:53:38"/>
    <s v="Smart Watch"/>
    <n v="2"/>
    <n v="700"/>
    <s v="West"/>
    <s v="C0432"/>
    <n v="1400"/>
  </r>
  <r>
    <x v="4"/>
    <d v="2023-05-17T08:34:54"/>
    <s v="Keyboard"/>
    <n v="1"/>
    <n v="700"/>
    <s v="North"/>
    <s v="C0044"/>
    <n v="700"/>
  </r>
  <r>
    <x v="4"/>
    <d v="2023-05-17T20:16:10"/>
    <s v="Headphones"/>
    <n v="2"/>
    <n v="150"/>
    <s v="East"/>
    <s v="C0360"/>
    <n v="300"/>
  </r>
  <r>
    <x v="4"/>
    <d v="2023-05-18T07:57:26"/>
    <s v="Headphones"/>
    <n v="4"/>
    <n v="1200"/>
    <s v="North"/>
    <s v="C0408"/>
    <n v="4800"/>
  </r>
  <r>
    <x v="4"/>
    <d v="2023-05-18T19:38:42"/>
    <s v="Wireless Mouse"/>
    <n v="4"/>
    <n v="1800"/>
    <s v="East"/>
    <s v="C0317"/>
    <n v="7200"/>
  </r>
  <r>
    <x v="4"/>
    <d v="2023-05-19T07:19:58"/>
    <s v="Mobile Cover"/>
    <n v="6"/>
    <n v="450"/>
    <s v="South"/>
    <s v="C0381"/>
    <n v="2700"/>
  </r>
  <r>
    <x v="4"/>
    <d v="2023-05-19T19:01:14"/>
    <s v="Mobile Cover"/>
    <n v="5"/>
    <n v="450"/>
    <s v="East"/>
    <s v="C0145"/>
    <n v="2250"/>
  </r>
  <r>
    <x v="4"/>
    <d v="2023-05-20T06:42:30"/>
    <s v="Wireless Mouse"/>
    <n v="5"/>
    <n v="700"/>
    <s v="West"/>
    <s v="C0327"/>
    <n v="3500"/>
  </r>
  <r>
    <x v="4"/>
    <d v="2023-05-20T18:23:47"/>
    <s v="Wireless Mouse"/>
    <n v="6"/>
    <n v="1200"/>
    <s v="West"/>
    <s v="C0363"/>
    <n v="7200"/>
  </r>
  <r>
    <x v="4"/>
    <d v="2023-05-21T06:05:03"/>
    <s v="Wireless Mouse"/>
    <n v="4"/>
    <n v="3500"/>
    <s v="North"/>
    <s v="C0050"/>
    <n v="14000"/>
  </r>
  <r>
    <x v="4"/>
    <d v="2023-05-21T17:46:19"/>
    <s v="Keyboard"/>
    <n v="4"/>
    <n v="150"/>
    <s v="East"/>
    <s v="C0065"/>
    <n v="600"/>
  </r>
  <r>
    <x v="4"/>
    <d v="2023-05-22T05:27:35"/>
    <s v="Smart Watch"/>
    <n v="4"/>
    <n v="1200"/>
    <s v="North"/>
    <s v="C0355"/>
    <n v="4800"/>
  </r>
  <r>
    <x v="4"/>
    <d v="2023-05-22T17:08:51"/>
    <s v="Mobile Cover"/>
    <n v="2"/>
    <n v="1200"/>
    <s v="North"/>
    <s v="C0288"/>
    <n v="2400"/>
  </r>
  <r>
    <x v="4"/>
    <d v="2023-05-23T04:50:07"/>
    <s v="Keyboard"/>
    <n v="4"/>
    <n v="150"/>
    <s v="South"/>
    <s v="C0164"/>
    <n v="600"/>
  </r>
  <r>
    <x v="4"/>
    <d v="2023-05-23T16:31:23"/>
    <s v="Wireless Mouse"/>
    <n v="3"/>
    <n v="700"/>
    <s v="South"/>
    <s v="C0141"/>
    <n v="2100"/>
  </r>
  <r>
    <x v="4"/>
    <d v="2023-05-24T04:12:39"/>
    <s v="Mobile Cover"/>
    <n v="1"/>
    <n v="1200"/>
    <s v="West"/>
    <s v="C0454"/>
    <n v="1200"/>
  </r>
  <r>
    <x v="4"/>
    <d v="2023-05-24T15:53:55"/>
    <s v="Keyboard"/>
    <n v="4"/>
    <n v="450"/>
    <s v="North"/>
    <s v="C0314"/>
    <n v="1800"/>
  </r>
  <r>
    <x v="4"/>
    <d v="2023-05-25T03:35:11"/>
    <s v="Smart Watch"/>
    <n v="6"/>
    <n v="150"/>
    <s v="West"/>
    <s v="C0128"/>
    <n v="900"/>
  </r>
  <r>
    <x v="4"/>
    <d v="2023-05-25T15:16:27"/>
    <s v="Keyboard"/>
    <n v="1"/>
    <n v="3500"/>
    <s v="East"/>
    <s v="C0398"/>
    <n v="3500"/>
  </r>
  <r>
    <x v="4"/>
    <d v="2023-05-26T02:57:43"/>
    <s v="Smart Watch"/>
    <n v="2"/>
    <n v="1800"/>
    <s v="North"/>
    <s v="C0421"/>
    <n v="3600"/>
  </r>
  <r>
    <x v="4"/>
    <d v="2023-05-26T14:38:59"/>
    <s v="Wireless Mouse"/>
    <n v="6"/>
    <n v="700"/>
    <s v="North"/>
    <s v="C0368"/>
    <n v="4200"/>
  </r>
  <r>
    <x v="4"/>
    <d v="2023-05-27T02:20:15"/>
    <s v="Smart Watch"/>
    <n v="1"/>
    <n v="150"/>
    <s v="East"/>
    <s v="C0463"/>
    <n v="150"/>
  </r>
  <r>
    <x v="4"/>
    <d v="2023-05-27T14:01:31"/>
    <s v="Mobile Cover"/>
    <n v="6"/>
    <n v="1800"/>
    <s v="East"/>
    <s v="C0239"/>
    <n v="10800"/>
  </r>
  <r>
    <x v="4"/>
    <d v="2023-05-28T01:42:47"/>
    <s v="Wireless Mouse"/>
    <n v="2"/>
    <n v="1800"/>
    <s v="West"/>
    <s v="C0324"/>
    <n v="3600"/>
  </r>
  <r>
    <x v="4"/>
    <d v="2023-05-28T13:24:03"/>
    <s v="Mobile Cover"/>
    <n v="3"/>
    <n v="3500"/>
    <s v="West"/>
    <s v="C0296"/>
    <n v="10500"/>
  </r>
  <r>
    <x v="4"/>
    <d v="2023-05-29T01:05:19"/>
    <s v="Headphones"/>
    <n v="2"/>
    <n v="1200"/>
    <s v="East"/>
    <s v="C0187"/>
    <n v="2400"/>
  </r>
  <r>
    <x v="4"/>
    <d v="2023-05-29T12:46:35"/>
    <s v="Laptop Bag"/>
    <n v="2"/>
    <n v="3500"/>
    <s v="West"/>
    <s v="C0208"/>
    <n v="7000"/>
  </r>
  <r>
    <x v="4"/>
    <d v="2023-05-30T00:27:52"/>
    <s v="Smart Watch"/>
    <n v="6"/>
    <n v="1200"/>
    <s v="East"/>
    <s v="C0220"/>
    <n v="7200"/>
  </r>
  <r>
    <x v="4"/>
    <d v="2023-05-30T12:09:08"/>
    <s v="Laptop Bag"/>
    <n v="5"/>
    <n v="1200"/>
    <s v="North"/>
    <s v="C0400"/>
    <n v="6000"/>
  </r>
  <r>
    <x v="4"/>
    <d v="2023-05-30T23:50:24"/>
    <s v="Laptop Bag"/>
    <n v="4"/>
    <n v="150"/>
    <s v="North"/>
    <s v="C0190"/>
    <n v="600"/>
  </r>
  <r>
    <x v="4"/>
    <d v="2023-05-31T11:31:40"/>
    <s v="Smart Watch"/>
    <n v="4"/>
    <n v="150"/>
    <s v="South"/>
    <s v="C0388"/>
    <n v="600"/>
  </r>
  <r>
    <x v="4"/>
    <d v="2023-05-31T23:12:56"/>
    <s v="Wireless Mouse"/>
    <n v="3"/>
    <n v="700"/>
    <s v="North"/>
    <s v="C0429"/>
    <n v="2100"/>
  </r>
  <r>
    <x v="5"/>
    <d v="2023-06-01T10:54:12"/>
    <s v="Headphones"/>
    <n v="3"/>
    <n v="1200"/>
    <s v="East"/>
    <s v="C0346"/>
    <n v="3600"/>
  </r>
  <r>
    <x v="5"/>
    <d v="2023-06-01T22:35:28"/>
    <s v="Mobile Cover"/>
    <n v="4"/>
    <n v="1800"/>
    <s v="West"/>
    <s v="C0284"/>
    <n v="7200"/>
  </r>
  <r>
    <x v="5"/>
    <d v="2023-06-02T10:16:44"/>
    <s v="Keyboard"/>
    <n v="5"/>
    <n v="450"/>
    <s v="South"/>
    <s v="C0352"/>
    <n v="2250"/>
  </r>
  <r>
    <x v="5"/>
    <d v="2023-06-02T21:58:00"/>
    <s v="Mobile Cover"/>
    <n v="4"/>
    <n v="700"/>
    <s v="West"/>
    <s v="C0237"/>
    <n v="2800"/>
  </r>
  <r>
    <x v="5"/>
    <d v="2023-06-03T09:39:16"/>
    <s v="Keyboard"/>
    <n v="5"/>
    <n v="150"/>
    <s v="East"/>
    <s v="C0194"/>
    <n v="750"/>
  </r>
  <r>
    <x v="5"/>
    <d v="2023-06-03T21:20:32"/>
    <s v="Mobile Cover"/>
    <n v="3"/>
    <n v="3500"/>
    <s v="North"/>
    <s v="C0287"/>
    <n v="10500"/>
  </r>
  <r>
    <x v="5"/>
    <d v="2023-06-04T09:01:48"/>
    <s v="Smart Watch"/>
    <n v="1"/>
    <n v="700"/>
    <s v="South"/>
    <s v="C0259"/>
    <n v="700"/>
  </r>
  <r>
    <x v="5"/>
    <d v="2023-06-04T20:43:04"/>
    <s v="Headphones"/>
    <n v="6"/>
    <n v="700"/>
    <s v="East"/>
    <s v="C0246"/>
    <n v="4200"/>
  </r>
  <r>
    <x v="5"/>
    <d v="2023-06-05T08:24:20"/>
    <s v="Keyboard"/>
    <n v="3"/>
    <n v="700"/>
    <s v="South"/>
    <s v="C0136"/>
    <n v="2100"/>
  </r>
  <r>
    <x v="5"/>
    <d v="2023-06-05T20:05:36"/>
    <s v="Wireless Mouse"/>
    <n v="3"/>
    <n v="700"/>
    <s v="South"/>
    <s v="C0280"/>
    <n v="2100"/>
  </r>
  <r>
    <x v="5"/>
    <d v="2023-06-06T07:46:52"/>
    <s v="Mobile Cover"/>
    <n v="2"/>
    <n v="450"/>
    <s v="North"/>
    <s v="C0271"/>
    <n v="900"/>
  </r>
  <r>
    <x v="5"/>
    <d v="2023-06-06T19:28:08"/>
    <s v="Mobile Cover"/>
    <n v="2"/>
    <n v="3500"/>
    <s v="East"/>
    <s v="C0171"/>
    <n v="7000"/>
  </r>
  <r>
    <x v="5"/>
    <d v="2023-06-07T07:09:24"/>
    <s v="Keyboard"/>
    <n v="2"/>
    <n v="3500"/>
    <s v="West"/>
    <s v="C0159"/>
    <n v="7000"/>
  </r>
  <r>
    <x v="5"/>
    <d v="2023-06-07T18:50:40"/>
    <s v="Wireless Mouse"/>
    <n v="6"/>
    <n v="3500"/>
    <s v="South"/>
    <s v="C0201"/>
    <n v="21000"/>
  </r>
  <r>
    <x v="5"/>
    <d v="2023-06-08T06:31:56"/>
    <s v="Wireless Mouse"/>
    <n v="2"/>
    <n v="1200"/>
    <s v="South"/>
    <s v="C0487"/>
    <n v="2400"/>
  </r>
  <r>
    <x v="5"/>
    <d v="2023-06-08T18:13:13"/>
    <s v="Smart Watch"/>
    <n v="5"/>
    <n v="1800"/>
    <s v="West"/>
    <s v="C0045"/>
    <n v="9000"/>
  </r>
  <r>
    <x v="5"/>
    <d v="2023-06-09T05:54:29"/>
    <s v="Smart Watch"/>
    <n v="4"/>
    <n v="3500"/>
    <s v="East"/>
    <s v="C0450"/>
    <n v="14000"/>
  </r>
  <r>
    <x v="5"/>
    <d v="2023-06-09T17:35:45"/>
    <s v="Smart Watch"/>
    <n v="1"/>
    <n v="700"/>
    <s v="South"/>
    <s v="C0264"/>
    <n v="700"/>
  </r>
  <r>
    <x v="5"/>
    <d v="2023-06-10T05:17:01"/>
    <s v="Smart Watch"/>
    <n v="3"/>
    <n v="700"/>
    <s v="South"/>
    <s v="C0071"/>
    <n v="2100"/>
  </r>
  <r>
    <x v="5"/>
    <d v="2023-06-10T16:58:17"/>
    <s v="Smart Watch"/>
    <n v="5"/>
    <n v="3500"/>
    <s v="South"/>
    <s v="C0364"/>
    <n v="17500"/>
  </r>
  <r>
    <x v="5"/>
    <d v="2023-06-11T04:39:33"/>
    <s v="Smart Watch"/>
    <n v="1"/>
    <n v="3500"/>
    <s v="East"/>
    <s v="C0371"/>
    <n v="3500"/>
  </r>
  <r>
    <x v="5"/>
    <d v="2023-06-11T16:20:49"/>
    <s v="Headphones"/>
    <n v="5"/>
    <n v="700"/>
    <s v="East"/>
    <s v="C0103"/>
    <n v="3500"/>
  </r>
  <r>
    <x v="5"/>
    <d v="2023-06-12T04:02:05"/>
    <s v="Wireless Mouse"/>
    <n v="5"/>
    <n v="1200"/>
    <s v="West"/>
    <s v="C0490"/>
    <n v="6000"/>
  </r>
  <r>
    <x v="5"/>
    <d v="2023-06-12T15:43:21"/>
    <s v="Smart Watch"/>
    <n v="3"/>
    <n v="150"/>
    <s v="East"/>
    <s v="C0125"/>
    <n v="450"/>
  </r>
  <r>
    <x v="5"/>
    <d v="2023-06-13T03:24:37"/>
    <s v="Wireless Mouse"/>
    <n v="4"/>
    <n v="150"/>
    <s v="East"/>
    <s v="C0313"/>
    <n v="600"/>
  </r>
  <r>
    <x v="5"/>
    <d v="2023-06-13T15:05:53"/>
    <s v="Wireless Mouse"/>
    <n v="2"/>
    <n v="3500"/>
    <s v="North"/>
    <s v="C0464"/>
    <n v="7000"/>
  </r>
  <r>
    <x v="5"/>
    <d v="2023-06-14T02:47:09"/>
    <s v="Laptop Bag"/>
    <n v="6"/>
    <n v="450"/>
    <s v="West"/>
    <s v="C0483"/>
    <n v="2700"/>
  </r>
  <r>
    <x v="5"/>
    <d v="2023-06-14T14:28:25"/>
    <s v="Headphones"/>
    <n v="4"/>
    <n v="3500"/>
    <s v="South"/>
    <s v="C0286"/>
    <n v="14000"/>
  </r>
  <r>
    <x v="5"/>
    <d v="2023-06-15T02:09:41"/>
    <s v="Smart Watch"/>
    <n v="6"/>
    <n v="3500"/>
    <s v="East"/>
    <s v="C0458"/>
    <n v="21000"/>
  </r>
  <r>
    <x v="5"/>
    <d v="2023-06-15T13:50:57"/>
    <s v="Mobile Cover"/>
    <n v="3"/>
    <n v="150"/>
    <s v="South"/>
    <s v="C0230"/>
    <n v="450"/>
  </r>
  <r>
    <x v="5"/>
    <d v="2023-06-16T01:32:13"/>
    <s v="Keyboard"/>
    <n v="3"/>
    <n v="700"/>
    <s v="South"/>
    <s v="C0146"/>
    <n v="2100"/>
  </r>
  <r>
    <x v="5"/>
    <d v="2023-06-16T13:13:29"/>
    <s v="Mobile Cover"/>
    <n v="3"/>
    <n v="3500"/>
    <s v="North"/>
    <s v="C0370"/>
    <n v="10500"/>
  </r>
  <r>
    <x v="5"/>
    <d v="2023-06-17T00:54:45"/>
    <s v="Headphones"/>
    <n v="1"/>
    <n v="700"/>
    <s v="East"/>
    <s v="C0197"/>
    <n v="700"/>
  </r>
  <r>
    <x v="5"/>
    <d v="2023-06-17T12:36:01"/>
    <s v="Keyboard"/>
    <n v="6"/>
    <n v="700"/>
    <s v="West"/>
    <s v="C0373"/>
    <n v="4200"/>
  </r>
  <r>
    <x v="5"/>
    <d v="2023-06-18T00:17:17"/>
    <s v="Headphones"/>
    <n v="4"/>
    <n v="450"/>
    <s v="East"/>
    <s v="C0221"/>
    <n v="1800"/>
  </r>
  <r>
    <x v="5"/>
    <d v="2023-06-18T11:58:34"/>
    <s v="Wireless Mouse"/>
    <n v="4"/>
    <n v="700"/>
    <s v="South"/>
    <s v="C0423"/>
    <n v="2800"/>
  </r>
  <r>
    <x v="5"/>
    <d v="2023-06-18T23:39:50"/>
    <s v="Keyboard"/>
    <n v="5"/>
    <n v="150"/>
    <s v="West"/>
    <s v="C0060"/>
    <n v="750"/>
  </r>
  <r>
    <x v="5"/>
    <d v="2023-06-19T11:21:06"/>
    <s v="Wireless Mouse"/>
    <n v="5"/>
    <n v="1200"/>
    <s v="East"/>
    <s v="C0098"/>
    <n v="6000"/>
  </r>
  <r>
    <x v="5"/>
    <d v="2023-06-19T23:02:22"/>
    <s v="Mobile Cover"/>
    <n v="5"/>
    <n v="1200"/>
    <s v="South"/>
    <s v="C0171"/>
    <n v="6000"/>
  </r>
  <r>
    <x v="5"/>
    <d v="2023-06-20T10:43:38"/>
    <s v="Mobile Cover"/>
    <n v="3"/>
    <n v="1800"/>
    <s v="South"/>
    <s v="C0382"/>
    <n v="5400"/>
  </r>
  <r>
    <x v="5"/>
    <d v="2023-06-20T22:24:54"/>
    <s v="Keyboard"/>
    <n v="4"/>
    <n v="3500"/>
    <s v="North"/>
    <s v="C0173"/>
    <n v="14000"/>
  </r>
  <r>
    <x v="5"/>
    <d v="2023-06-21T10:06:10"/>
    <s v="Keyboard"/>
    <n v="6"/>
    <n v="150"/>
    <s v="North"/>
    <s v="C0151"/>
    <n v="900"/>
  </r>
  <r>
    <x v="5"/>
    <d v="2023-06-21T21:47:26"/>
    <s v="Smart Watch"/>
    <n v="3"/>
    <n v="700"/>
    <s v="North"/>
    <s v="C0453"/>
    <n v="2100"/>
  </r>
  <r>
    <x v="5"/>
    <d v="2023-06-22T09:28:42"/>
    <s v="Headphones"/>
    <n v="1"/>
    <n v="1200"/>
    <s v="South"/>
    <s v="C0350"/>
    <n v="1200"/>
  </r>
  <r>
    <x v="5"/>
    <d v="2023-06-22T21:09:58"/>
    <s v="Smart Watch"/>
    <n v="5"/>
    <n v="150"/>
    <s v="East"/>
    <s v="C0390"/>
    <n v="750"/>
  </r>
  <r>
    <x v="5"/>
    <d v="2023-06-23T08:51:14"/>
    <s v="Headphones"/>
    <n v="3"/>
    <n v="1200"/>
    <s v="North"/>
    <s v="C0440"/>
    <n v="3600"/>
  </r>
  <r>
    <x v="5"/>
    <d v="2023-06-23T20:32:30"/>
    <s v="Smart Watch"/>
    <n v="3"/>
    <n v="700"/>
    <s v="East"/>
    <s v="C0122"/>
    <n v="2100"/>
  </r>
  <r>
    <x v="5"/>
    <d v="2023-06-24T08:13:46"/>
    <s v="Wireless Mouse"/>
    <n v="1"/>
    <n v="1200"/>
    <s v="North"/>
    <s v="C0494"/>
    <n v="1200"/>
  </r>
  <r>
    <x v="5"/>
    <d v="2023-06-24T19:55:02"/>
    <s v="Keyboard"/>
    <n v="2"/>
    <n v="3500"/>
    <s v="West"/>
    <s v="C0108"/>
    <n v="7000"/>
  </r>
  <r>
    <x v="5"/>
    <d v="2023-06-25T07:36:18"/>
    <s v="Mobile Cover"/>
    <n v="4"/>
    <n v="3500"/>
    <s v="West"/>
    <s v="C0004"/>
    <n v="14000"/>
  </r>
  <r>
    <x v="5"/>
    <d v="2023-06-25T19:17:34"/>
    <s v="Headphones"/>
    <n v="6"/>
    <n v="1800"/>
    <s v="North"/>
    <s v="C0093"/>
    <n v="10800"/>
  </r>
  <r>
    <x v="5"/>
    <d v="2023-06-26T06:58:50"/>
    <s v="Headphones"/>
    <n v="2"/>
    <n v="1800"/>
    <s v="South"/>
    <s v="C0407"/>
    <n v="3600"/>
  </r>
  <r>
    <x v="5"/>
    <d v="2023-06-26T18:40:06"/>
    <s v="Mobile Cover"/>
    <n v="5"/>
    <n v="1200"/>
    <s v="North"/>
    <s v="C0006"/>
    <n v="6000"/>
  </r>
  <r>
    <x v="5"/>
    <d v="2023-06-27T06:21:22"/>
    <s v="Smart Watch"/>
    <n v="3"/>
    <n v="150"/>
    <s v="North"/>
    <s v="C0288"/>
    <n v="450"/>
  </r>
  <r>
    <x v="5"/>
    <d v="2023-06-27T18:02:39"/>
    <s v="Headphones"/>
    <n v="1"/>
    <n v="3500"/>
    <s v="South"/>
    <s v="C0106"/>
    <n v="3500"/>
  </r>
  <r>
    <x v="5"/>
    <d v="2023-06-28T05:43:55"/>
    <s v="Wireless Mouse"/>
    <n v="1"/>
    <n v="150"/>
    <s v="West"/>
    <s v="C0146"/>
    <n v="150"/>
  </r>
  <r>
    <x v="5"/>
    <d v="2023-06-28T17:25:11"/>
    <s v="Keyboard"/>
    <n v="4"/>
    <n v="150"/>
    <s v="East"/>
    <s v="C0271"/>
    <n v="600"/>
  </r>
  <r>
    <x v="5"/>
    <d v="2023-06-29T05:06:27"/>
    <s v="Mobile Cover"/>
    <n v="2"/>
    <n v="1200"/>
    <s v="North"/>
    <s v="C0424"/>
    <n v="2400"/>
  </r>
  <r>
    <x v="5"/>
    <d v="2023-06-29T16:47:43"/>
    <s v="Keyboard"/>
    <n v="4"/>
    <n v="150"/>
    <s v="South"/>
    <s v="C0378"/>
    <n v="600"/>
  </r>
  <r>
    <x v="5"/>
    <d v="2023-06-30T04:28:59"/>
    <s v="Headphones"/>
    <n v="3"/>
    <n v="3500"/>
    <s v="North"/>
    <s v="C0096"/>
    <n v="10500"/>
  </r>
  <r>
    <x v="5"/>
    <d v="2023-06-30T16:10:15"/>
    <s v="Headphones"/>
    <n v="4"/>
    <n v="700"/>
    <s v="South"/>
    <s v="C0457"/>
    <n v="2800"/>
  </r>
  <r>
    <x v="6"/>
    <d v="2023-07-01T03:51:31"/>
    <s v="Mobile Cover"/>
    <n v="6"/>
    <n v="1800"/>
    <s v="East"/>
    <s v="C0229"/>
    <n v="10800"/>
  </r>
  <r>
    <x v="6"/>
    <d v="2023-07-01T15:32:47"/>
    <s v="Wireless Mouse"/>
    <n v="1"/>
    <n v="700"/>
    <s v="East"/>
    <s v="C0202"/>
    <n v="700"/>
  </r>
  <r>
    <x v="6"/>
    <d v="2023-07-02T03:14:03"/>
    <s v="Laptop Bag"/>
    <n v="1"/>
    <n v="150"/>
    <s v="West"/>
    <s v="C0212"/>
    <n v="150"/>
  </r>
  <r>
    <x v="6"/>
    <d v="2023-07-02T14:55:19"/>
    <s v="Mobile Cover"/>
    <n v="5"/>
    <n v="700"/>
    <s v="South"/>
    <s v="C0006"/>
    <n v="3500"/>
  </r>
  <r>
    <x v="6"/>
    <d v="2023-07-03T02:36:35"/>
    <s v="Laptop Bag"/>
    <n v="5"/>
    <n v="3500"/>
    <s v="South"/>
    <s v="C0112"/>
    <n v="17500"/>
  </r>
  <r>
    <x v="6"/>
    <d v="2023-07-03T14:17:51"/>
    <s v="Smart Watch"/>
    <n v="3"/>
    <n v="3500"/>
    <s v="West"/>
    <s v="C0376"/>
    <n v="10500"/>
  </r>
  <r>
    <x v="6"/>
    <d v="2023-07-04T01:59:07"/>
    <s v="Laptop Bag"/>
    <n v="6"/>
    <n v="150"/>
    <s v="West"/>
    <s v="C0379"/>
    <n v="900"/>
  </r>
  <r>
    <x v="6"/>
    <d v="2023-07-04T13:40:23"/>
    <s v="Wireless Mouse"/>
    <n v="2"/>
    <n v="1200"/>
    <s v="South"/>
    <s v="C0447"/>
    <n v="2400"/>
  </r>
  <r>
    <x v="6"/>
    <d v="2023-07-05T01:21:39"/>
    <s v="Smart Watch"/>
    <n v="4"/>
    <n v="700"/>
    <s v="West"/>
    <s v="C0323"/>
    <n v="2800"/>
  </r>
  <r>
    <x v="6"/>
    <d v="2023-07-05T13:02:55"/>
    <s v="Laptop Bag"/>
    <n v="3"/>
    <n v="1200"/>
    <s v="East"/>
    <s v="C0106"/>
    <n v="3600"/>
  </r>
  <r>
    <x v="6"/>
    <d v="2023-07-06T00:44:11"/>
    <s v="Smart Watch"/>
    <n v="5"/>
    <n v="1200"/>
    <s v="North"/>
    <s v="C0139"/>
    <n v="6000"/>
  </r>
  <r>
    <x v="6"/>
    <d v="2023-07-06T12:25:27"/>
    <s v="Laptop Bag"/>
    <n v="4"/>
    <n v="450"/>
    <s v="East"/>
    <s v="C0299"/>
    <n v="1800"/>
  </r>
  <r>
    <x v="6"/>
    <d v="2023-07-07T00:06:43"/>
    <s v="Wireless Mouse"/>
    <n v="5"/>
    <n v="150"/>
    <s v="West"/>
    <s v="C0401"/>
    <n v="750"/>
  </r>
  <r>
    <x v="6"/>
    <d v="2023-07-07T11:48:00"/>
    <s v="Laptop Bag"/>
    <n v="4"/>
    <n v="1800"/>
    <s v="South"/>
    <s v="C0096"/>
    <n v="7200"/>
  </r>
  <r>
    <x v="6"/>
    <d v="2023-07-07T23:29:16"/>
    <s v="Laptop Bag"/>
    <n v="2"/>
    <n v="3500"/>
    <s v="South"/>
    <s v="C0388"/>
    <n v="7000"/>
  </r>
  <r>
    <x v="6"/>
    <d v="2023-07-08T11:10:32"/>
    <s v="Laptop Bag"/>
    <n v="3"/>
    <n v="3500"/>
    <s v="East"/>
    <s v="C0447"/>
    <n v="10500"/>
  </r>
  <r>
    <x v="6"/>
    <d v="2023-07-08T22:51:48"/>
    <s v="Mobile Cover"/>
    <n v="4"/>
    <n v="150"/>
    <s v="South"/>
    <s v="C0452"/>
    <n v="600"/>
  </r>
  <r>
    <x v="6"/>
    <d v="2023-07-09T10:33:04"/>
    <s v="Mobile Cover"/>
    <n v="6"/>
    <n v="1800"/>
    <s v="West"/>
    <s v="C0337"/>
    <n v="10800"/>
  </r>
  <r>
    <x v="6"/>
    <d v="2023-07-09T22:14:20"/>
    <s v="Mobile Cover"/>
    <n v="1"/>
    <n v="3500"/>
    <s v="East"/>
    <s v="C0297"/>
    <n v="3500"/>
  </r>
  <r>
    <x v="6"/>
    <d v="2023-07-10T09:55:36"/>
    <s v="Wireless Mouse"/>
    <n v="6"/>
    <n v="150"/>
    <s v="South"/>
    <s v="C0467"/>
    <n v="900"/>
  </r>
  <r>
    <x v="6"/>
    <d v="2023-07-10T21:36:52"/>
    <s v="Smart Watch"/>
    <n v="6"/>
    <n v="3500"/>
    <s v="North"/>
    <s v="C0389"/>
    <n v="21000"/>
  </r>
  <r>
    <x v="6"/>
    <d v="2023-07-11T09:18:08"/>
    <s v="Headphones"/>
    <n v="1"/>
    <n v="1200"/>
    <s v="North"/>
    <s v="C0416"/>
    <n v="1200"/>
  </r>
  <r>
    <x v="6"/>
    <d v="2023-07-11T20:59:24"/>
    <s v="Laptop Bag"/>
    <n v="6"/>
    <n v="700"/>
    <s v="West"/>
    <s v="C0214"/>
    <n v="4200"/>
  </r>
  <r>
    <x v="6"/>
    <d v="2023-07-12T08:40:40"/>
    <s v="Laptop Bag"/>
    <n v="4"/>
    <n v="700"/>
    <s v="South"/>
    <s v="C0454"/>
    <n v="2800"/>
  </r>
  <r>
    <x v="6"/>
    <d v="2023-07-12T20:21:56"/>
    <s v="Wireless Mouse"/>
    <n v="4"/>
    <n v="3500"/>
    <s v="West"/>
    <s v="C0291"/>
    <n v="14000"/>
  </r>
  <r>
    <x v="6"/>
    <d v="2023-07-13T08:03:12"/>
    <s v="Laptop Bag"/>
    <n v="4"/>
    <n v="450"/>
    <s v="East"/>
    <s v="C0022"/>
    <n v="1800"/>
  </r>
  <r>
    <x v="6"/>
    <d v="2023-07-13T19:44:28"/>
    <s v="Mobile Cover"/>
    <n v="1"/>
    <n v="1800"/>
    <s v="North"/>
    <s v="C0193"/>
    <n v="1800"/>
  </r>
  <r>
    <x v="6"/>
    <d v="2023-07-14T07:25:44"/>
    <s v="Headphones"/>
    <n v="6"/>
    <n v="1800"/>
    <s v="East"/>
    <s v="C0468"/>
    <n v="10800"/>
  </r>
  <r>
    <x v="6"/>
    <d v="2023-07-14T19:07:00"/>
    <s v="Keyboard"/>
    <n v="1"/>
    <n v="1800"/>
    <s v="South"/>
    <s v="C0150"/>
    <n v="1800"/>
  </r>
  <r>
    <x v="6"/>
    <d v="2023-07-15T06:48:16"/>
    <s v="Laptop Bag"/>
    <n v="4"/>
    <n v="1200"/>
    <s v="West"/>
    <s v="C0368"/>
    <n v="4800"/>
  </r>
  <r>
    <x v="6"/>
    <d v="2023-07-15T18:29:32"/>
    <s v="Mobile Cover"/>
    <n v="6"/>
    <n v="1800"/>
    <s v="West"/>
    <s v="C0247"/>
    <n v="10800"/>
  </r>
  <r>
    <x v="6"/>
    <d v="2023-07-16T06:10:48"/>
    <s v="Keyboard"/>
    <n v="6"/>
    <n v="700"/>
    <s v="West"/>
    <s v="C0267"/>
    <n v="4200"/>
  </r>
  <r>
    <x v="6"/>
    <d v="2023-07-16T17:52:04"/>
    <s v="Headphones"/>
    <n v="5"/>
    <n v="1200"/>
    <s v="East"/>
    <s v="C0461"/>
    <n v="6000"/>
  </r>
  <r>
    <x v="6"/>
    <d v="2023-07-17T05:33:21"/>
    <s v="Keyboard"/>
    <n v="5"/>
    <n v="150"/>
    <s v="North"/>
    <s v="C0251"/>
    <n v="750"/>
  </r>
  <r>
    <x v="6"/>
    <d v="2023-07-17T17:14:37"/>
    <s v="Mobile Cover"/>
    <n v="2"/>
    <n v="1800"/>
    <s v="East"/>
    <s v="C0490"/>
    <n v="3600"/>
  </r>
  <r>
    <x v="6"/>
    <d v="2023-07-18T04:55:53"/>
    <s v="Smart Watch"/>
    <n v="3"/>
    <n v="1800"/>
    <s v="East"/>
    <s v="C0003"/>
    <n v="5400"/>
  </r>
  <r>
    <x v="6"/>
    <d v="2023-07-18T16:37:09"/>
    <s v="Smart Watch"/>
    <n v="5"/>
    <n v="150"/>
    <s v="South"/>
    <s v="C0393"/>
    <n v="750"/>
  </r>
  <r>
    <x v="6"/>
    <d v="2023-07-19T04:18:25"/>
    <s v="Keyboard"/>
    <n v="1"/>
    <n v="1800"/>
    <s v="South"/>
    <s v="C0316"/>
    <n v="1800"/>
  </r>
  <r>
    <x v="6"/>
    <d v="2023-07-19T15:59:41"/>
    <s v="Wireless Mouse"/>
    <n v="5"/>
    <n v="150"/>
    <s v="South"/>
    <s v="C0076"/>
    <n v="750"/>
  </r>
  <r>
    <x v="6"/>
    <d v="2023-07-20T03:40:57"/>
    <s v="Keyboard"/>
    <n v="2"/>
    <n v="1200"/>
    <s v="North"/>
    <s v="C0087"/>
    <n v="2400"/>
  </r>
  <r>
    <x v="6"/>
    <d v="2023-07-20T15:22:13"/>
    <s v="Laptop Bag"/>
    <n v="6"/>
    <n v="700"/>
    <s v="North"/>
    <s v="C0270"/>
    <n v="4200"/>
  </r>
  <r>
    <x v="6"/>
    <d v="2023-07-21T03:03:29"/>
    <s v="Laptop Bag"/>
    <n v="2"/>
    <n v="150"/>
    <s v="South"/>
    <s v="C0225"/>
    <n v="300"/>
  </r>
  <r>
    <x v="6"/>
    <d v="2023-07-21T14:44:45"/>
    <s v="Smart Watch"/>
    <n v="6"/>
    <n v="450"/>
    <s v="South"/>
    <s v="C0018"/>
    <n v="2700"/>
  </r>
  <r>
    <x v="6"/>
    <d v="2023-07-22T02:26:01"/>
    <s v="Wireless Mouse"/>
    <n v="6"/>
    <n v="150"/>
    <s v="North"/>
    <s v="C0113"/>
    <n v="900"/>
  </r>
  <r>
    <x v="6"/>
    <d v="2023-07-22T14:07:17"/>
    <s v="Mobile Cover"/>
    <n v="3"/>
    <n v="1800"/>
    <s v="West"/>
    <s v="C0251"/>
    <n v="5400"/>
  </r>
  <r>
    <x v="6"/>
    <d v="2023-07-23T01:48:33"/>
    <s v="Laptop Bag"/>
    <n v="5"/>
    <n v="1200"/>
    <s v="North"/>
    <s v="C0233"/>
    <n v="6000"/>
  </r>
  <r>
    <x v="6"/>
    <d v="2023-07-23T13:29:49"/>
    <s v="Smart Watch"/>
    <n v="1"/>
    <n v="3500"/>
    <s v="North"/>
    <s v="C0329"/>
    <n v="3500"/>
  </r>
  <r>
    <x v="6"/>
    <d v="2023-07-24T01:11:05"/>
    <s v="Headphones"/>
    <n v="1"/>
    <n v="1200"/>
    <s v="North"/>
    <s v="C0279"/>
    <n v="1200"/>
  </r>
  <r>
    <x v="6"/>
    <d v="2023-07-24T12:52:21"/>
    <s v="Smart Watch"/>
    <n v="4"/>
    <n v="3500"/>
    <s v="South"/>
    <s v="C0202"/>
    <n v="14000"/>
  </r>
  <r>
    <x v="6"/>
    <d v="2023-07-25T00:33:37"/>
    <s v="Laptop Bag"/>
    <n v="6"/>
    <n v="150"/>
    <s v="West"/>
    <s v="C0083"/>
    <n v="900"/>
  </r>
  <r>
    <x v="6"/>
    <d v="2023-07-25T12:14:53"/>
    <s v="Laptop Bag"/>
    <n v="1"/>
    <n v="700"/>
    <s v="North"/>
    <s v="C0125"/>
    <n v="700"/>
  </r>
  <r>
    <x v="6"/>
    <d v="2023-07-25T23:56:09"/>
    <s v="Smart Watch"/>
    <n v="3"/>
    <n v="450"/>
    <s v="South"/>
    <s v="C0175"/>
    <n v="1350"/>
  </r>
  <r>
    <x v="6"/>
    <d v="2023-07-26T11:37:25"/>
    <s v="Mobile Cover"/>
    <n v="6"/>
    <n v="1200"/>
    <s v="East"/>
    <s v="C0069"/>
    <n v="7200"/>
  </r>
  <r>
    <x v="6"/>
    <d v="2023-07-26T23:18:42"/>
    <s v="Keyboard"/>
    <n v="3"/>
    <n v="1800"/>
    <s v="East"/>
    <s v="C0047"/>
    <n v="5400"/>
  </r>
  <r>
    <x v="6"/>
    <d v="2023-07-27T10:59:58"/>
    <s v="Laptop Bag"/>
    <n v="1"/>
    <n v="3500"/>
    <s v="North"/>
    <s v="C0372"/>
    <n v="3500"/>
  </r>
  <r>
    <x v="6"/>
    <d v="2023-07-27T22:41:14"/>
    <s v="Smart Watch"/>
    <n v="1"/>
    <n v="1800"/>
    <s v="East"/>
    <s v="C0256"/>
    <n v="1800"/>
  </r>
  <r>
    <x v="6"/>
    <d v="2023-07-28T10:22:30"/>
    <s v="Smart Watch"/>
    <n v="4"/>
    <n v="700"/>
    <s v="West"/>
    <s v="C0215"/>
    <n v="2800"/>
  </r>
  <r>
    <x v="6"/>
    <d v="2023-07-28T22:03:46"/>
    <s v="Wireless Mouse"/>
    <n v="1"/>
    <n v="3500"/>
    <s v="East"/>
    <s v="C0030"/>
    <n v="3500"/>
  </r>
  <r>
    <x v="6"/>
    <d v="2023-07-29T09:45:02"/>
    <s v="Keyboard"/>
    <n v="6"/>
    <n v="1200"/>
    <s v="East"/>
    <s v="C0281"/>
    <n v="7200"/>
  </r>
  <r>
    <x v="6"/>
    <d v="2023-07-29T21:26:18"/>
    <s v="Headphones"/>
    <n v="6"/>
    <n v="150"/>
    <s v="West"/>
    <s v="C0412"/>
    <n v="900"/>
  </r>
  <r>
    <x v="6"/>
    <d v="2023-07-30T09:07:34"/>
    <s v="Mobile Cover"/>
    <n v="6"/>
    <n v="1800"/>
    <s v="North"/>
    <s v="C0482"/>
    <n v="10800"/>
  </r>
  <r>
    <x v="6"/>
    <d v="2023-07-30T20:48:50"/>
    <s v="Headphones"/>
    <n v="4"/>
    <n v="700"/>
    <s v="North"/>
    <s v="C0237"/>
    <n v="2800"/>
  </r>
  <r>
    <x v="6"/>
    <d v="2023-07-31T08:30:06"/>
    <s v="Keyboard"/>
    <n v="4"/>
    <n v="1200"/>
    <s v="West"/>
    <s v="C0248"/>
    <n v="4800"/>
  </r>
  <r>
    <x v="6"/>
    <d v="2023-07-31T20:11:22"/>
    <s v="Keyboard"/>
    <n v="1"/>
    <n v="1200"/>
    <s v="West"/>
    <s v="C0368"/>
    <n v="1200"/>
  </r>
  <r>
    <x v="7"/>
    <d v="2023-08-01T07:52:38"/>
    <s v="Keyboard"/>
    <n v="2"/>
    <n v="1200"/>
    <s v="West"/>
    <s v="C0495"/>
    <n v="2400"/>
  </r>
  <r>
    <x v="7"/>
    <d v="2023-08-01T19:33:54"/>
    <s v="Headphones"/>
    <n v="2"/>
    <n v="1200"/>
    <s v="East"/>
    <s v="C0025"/>
    <n v="2400"/>
  </r>
  <r>
    <x v="7"/>
    <d v="2023-08-02T07:15:10"/>
    <s v="Keyboard"/>
    <n v="4"/>
    <n v="3500"/>
    <s v="West"/>
    <s v="C0074"/>
    <n v="14000"/>
  </r>
  <r>
    <x v="7"/>
    <d v="2023-08-02T18:56:26"/>
    <s v="Smart Watch"/>
    <n v="1"/>
    <n v="1200"/>
    <s v="South"/>
    <s v="C0206"/>
    <n v="1200"/>
  </r>
  <r>
    <x v="7"/>
    <d v="2023-08-03T06:37:42"/>
    <s v="Headphones"/>
    <n v="2"/>
    <n v="1800"/>
    <s v="East"/>
    <s v="C0490"/>
    <n v="3600"/>
  </r>
  <r>
    <x v="7"/>
    <d v="2023-08-03T18:18:58"/>
    <s v="Keyboard"/>
    <n v="1"/>
    <n v="700"/>
    <s v="North"/>
    <s v="C0494"/>
    <n v="700"/>
  </r>
  <r>
    <x v="7"/>
    <d v="2023-08-04T06:00:14"/>
    <s v="Smart Watch"/>
    <n v="1"/>
    <n v="3500"/>
    <s v="North"/>
    <s v="C0314"/>
    <n v="3500"/>
  </r>
  <r>
    <x v="7"/>
    <d v="2023-08-04T17:41:30"/>
    <s v="Wireless Mouse"/>
    <n v="1"/>
    <n v="1200"/>
    <s v="North"/>
    <s v="C0094"/>
    <n v="1200"/>
  </r>
  <r>
    <x v="7"/>
    <d v="2023-08-05T05:22:47"/>
    <s v="Keyboard"/>
    <n v="5"/>
    <n v="450"/>
    <s v="East"/>
    <s v="C0375"/>
    <n v="2250"/>
  </r>
  <r>
    <x v="7"/>
    <d v="2023-08-05T17:04:03"/>
    <s v="Headphones"/>
    <n v="6"/>
    <n v="450"/>
    <s v="South"/>
    <s v="C0127"/>
    <n v="2700"/>
  </r>
  <r>
    <x v="7"/>
    <d v="2023-08-06T04:45:19"/>
    <s v="Laptop Bag"/>
    <n v="1"/>
    <n v="700"/>
    <s v="West"/>
    <s v="C0425"/>
    <n v="700"/>
  </r>
  <r>
    <x v="7"/>
    <d v="2023-08-06T16:26:35"/>
    <s v="Keyboard"/>
    <n v="5"/>
    <n v="150"/>
    <s v="West"/>
    <s v="C0025"/>
    <n v="750"/>
  </r>
  <r>
    <x v="7"/>
    <d v="2023-08-07T04:07:51"/>
    <s v="Laptop Bag"/>
    <n v="4"/>
    <n v="150"/>
    <s v="North"/>
    <s v="C0334"/>
    <n v="600"/>
  </r>
  <r>
    <x v="7"/>
    <d v="2023-08-07T15:49:07"/>
    <s v="Smart Watch"/>
    <n v="2"/>
    <n v="3500"/>
    <s v="North"/>
    <s v="C0355"/>
    <n v="7000"/>
  </r>
  <r>
    <x v="7"/>
    <d v="2023-08-08T03:30:23"/>
    <s v="Wireless Mouse"/>
    <n v="6"/>
    <n v="3500"/>
    <s v="East"/>
    <s v="C0116"/>
    <n v="21000"/>
  </r>
  <r>
    <x v="7"/>
    <d v="2023-08-08T15:11:39"/>
    <s v="Mobile Cover"/>
    <n v="2"/>
    <n v="3500"/>
    <s v="South"/>
    <s v="C0048"/>
    <n v="7000"/>
  </r>
  <r>
    <x v="7"/>
    <d v="2023-08-09T02:52:55"/>
    <s v="Wireless Mouse"/>
    <n v="6"/>
    <n v="150"/>
    <s v="West"/>
    <s v="C0226"/>
    <n v="900"/>
  </r>
  <r>
    <x v="7"/>
    <d v="2023-08-09T14:34:11"/>
    <s v="Keyboard"/>
    <n v="2"/>
    <n v="450"/>
    <s v="East"/>
    <s v="C0266"/>
    <n v="900"/>
  </r>
  <r>
    <x v="7"/>
    <d v="2023-08-10T02:15:27"/>
    <s v="Laptop Bag"/>
    <n v="6"/>
    <n v="150"/>
    <s v="West"/>
    <s v="C0099"/>
    <n v="900"/>
  </r>
  <r>
    <x v="7"/>
    <d v="2023-08-10T13:56:43"/>
    <s v="Laptop Bag"/>
    <n v="2"/>
    <n v="1800"/>
    <s v="North"/>
    <s v="C0459"/>
    <n v="3600"/>
  </r>
  <r>
    <x v="7"/>
    <d v="2023-08-11T01:37:59"/>
    <s v="Headphones"/>
    <n v="2"/>
    <n v="1200"/>
    <s v="West"/>
    <s v="C0011"/>
    <n v="2400"/>
  </r>
  <r>
    <x v="7"/>
    <d v="2023-08-11T13:19:15"/>
    <s v="Laptop Bag"/>
    <n v="2"/>
    <n v="3500"/>
    <s v="South"/>
    <s v="C0085"/>
    <n v="7000"/>
  </r>
  <r>
    <x v="7"/>
    <d v="2023-08-12T01:00:31"/>
    <s v="Headphones"/>
    <n v="2"/>
    <n v="450"/>
    <s v="South"/>
    <s v="C0405"/>
    <n v="900"/>
  </r>
  <r>
    <x v="7"/>
    <d v="2023-08-12T12:41:47"/>
    <s v="Smart Watch"/>
    <n v="4"/>
    <n v="700"/>
    <s v="North"/>
    <s v="C0214"/>
    <n v="2800"/>
  </r>
  <r>
    <x v="7"/>
    <d v="2023-08-13T00:23:03"/>
    <s v="Mobile Cover"/>
    <n v="1"/>
    <n v="700"/>
    <s v="South"/>
    <s v="C0173"/>
    <n v="700"/>
  </r>
  <r>
    <x v="7"/>
    <d v="2023-08-13T12:04:19"/>
    <s v="Keyboard"/>
    <n v="3"/>
    <n v="1200"/>
    <s v="South"/>
    <s v="C0391"/>
    <n v="3600"/>
  </r>
  <r>
    <x v="7"/>
    <d v="2023-08-13T23:45:35"/>
    <s v="Headphones"/>
    <n v="5"/>
    <n v="450"/>
    <s v="East"/>
    <s v="C0209"/>
    <n v="2250"/>
  </r>
  <r>
    <x v="7"/>
    <d v="2023-08-14T11:26:51"/>
    <s v="Mobile Cover"/>
    <n v="3"/>
    <n v="150"/>
    <s v="West"/>
    <s v="C0448"/>
    <n v="450"/>
  </r>
  <r>
    <x v="7"/>
    <d v="2023-08-14T23:08:08"/>
    <s v="Laptop Bag"/>
    <n v="3"/>
    <n v="150"/>
    <s v="North"/>
    <s v="C0382"/>
    <n v="450"/>
  </r>
  <r>
    <x v="7"/>
    <d v="2023-08-15T10:49:24"/>
    <s v="Laptop Bag"/>
    <n v="6"/>
    <n v="1800"/>
    <s v="North"/>
    <s v="C0064"/>
    <n v="10800"/>
  </r>
  <r>
    <x v="7"/>
    <d v="2023-08-15T22:30:40"/>
    <s v="Mobile Cover"/>
    <n v="1"/>
    <n v="1800"/>
    <s v="North"/>
    <s v="C0258"/>
    <n v="1800"/>
  </r>
  <r>
    <x v="7"/>
    <d v="2023-08-16T10:11:56"/>
    <s v="Laptop Bag"/>
    <n v="6"/>
    <n v="150"/>
    <s v="North"/>
    <s v="C0332"/>
    <n v="900"/>
  </r>
  <r>
    <x v="7"/>
    <d v="2023-08-16T21:53:12"/>
    <s v="Smart Watch"/>
    <n v="1"/>
    <n v="700"/>
    <s v="North"/>
    <s v="C0121"/>
    <n v="700"/>
  </r>
  <r>
    <x v="7"/>
    <d v="2023-08-17T09:34:28"/>
    <s v="Smart Watch"/>
    <n v="1"/>
    <n v="3500"/>
    <s v="South"/>
    <s v="C0298"/>
    <n v="3500"/>
  </r>
  <r>
    <x v="7"/>
    <d v="2023-08-17T21:15:44"/>
    <s v="Mobile Cover"/>
    <n v="2"/>
    <n v="700"/>
    <s v="East"/>
    <s v="C0466"/>
    <n v="1400"/>
  </r>
  <r>
    <x v="7"/>
    <d v="2023-08-18T08:57:00"/>
    <s v="Headphones"/>
    <n v="4"/>
    <n v="1800"/>
    <s v="North"/>
    <s v="C0054"/>
    <n v="7200"/>
  </r>
  <r>
    <x v="7"/>
    <d v="2023-08-18T20:38:16"/>
    <s v="Headphones"/>
    <n v="2"/>
    <n v="1200"/>
    <s v="East"/>
    <s v="C0331"/>
    <n v="2400"/>
  </r>
  <r>
    <x v="7"/>
    <d v="2023-08-19T08:19:32"/>
    <s v="Mobile Cover"/>
    <n v="4"/>
    <n v="150"/>
    <s v="East"/>
    <s v="C0272"/>
    <n v="600"/>
  </r>
  <r>
    <x v="7"/>
    <d v="2023-08-19T20:00:48"/>
    <s v="Headphones"/>
    <n v="6"/>
    <n v="1800"/>
    <s v="South"/>
    <s v="C0241"/>
    <n v="10800"/>
  </r>
  <r>
    <x v="7"/>
    <d v="2023-08-20T07:42:04"/>
    <s v="Headphones"/>
    <n v="4"/>
    <n v="1800"/>
    <s v="North"/>
    <s v="C0243"/>
    <n v="7200"/>
  </r>
  <r>
    <x v="7"/>
    <d v="2023-08-20T19:23:20"/>
    <s v="Smart Watch"/>
    <n v="6"/>
    <n v="3500"/>
    <s v="South"/>
    <s v="C0018"/>
    <n v="21000"/>
  </r>
  <r>
    <x v="7"/>
    <d v="2023-08-21T07:04:36"/>
    <s v="Headphones"/>
    <n v="3"/>
    <n v="150"/>
    <s v="North"/>
    <s v="C0483"/>
    <n v="450"/>
  </r>
  <r>
    <x v="7"/>
    <d v="2023-08-21T18:45:52"/>
    <s v="Wireless Mouse"/>
    <n v="3"/>
    <n v="3500"/>
    <s v="South"/>
    <s v="C0187"/>
    <n v="10500"/>
  </r>
  <r>
    <x v="7"/>
    <d v="2023-08-22T06:27:08"/>
    <s v="Keyboard"/>
    <n v="4"/>
    <n v="150"/>
    <s v="East"/>
    <s v="C0346"/>
    <n v="600"/>
  </r>
  <r>
    <x v="7"/>
    <d v="2023-08-22T18:08:24"/>
    <s v="Laptop Bag"/>
    <n v="4"/>
    <n v="3500"/>
    <s v="North"/>
    <s v="C0144"/>
    <n v="14000"/>
  </r>
  <r>
    <x v="7"/>
    <d v="2023-08-23T05:49:40"/>
    <s v="Wireless Mouse"/>
    <n v="6"/>
    <n v="700"/>
    <s v="West"/>
    <s v="C0262"/>
    <n v="4200"/>
  </r>
  <r>
    <x v="7"/>
    <d v="2023-08-23T17:30:56"/>
    <s v="Headphones"/>
    <n v="2"/>
    <n v="1200"/>
    <s v="East"/>
    <s v="C0441"/>
    <n v="2400"/>
  </r>
  <r>
    <x v="7"/>
    <d v="2023-08-24T05:12:12"/>
    <s v="Smart Watch"/>
    <n v="6"/>
    <n v="1200"/>
    <s v="West"/>
    <s v="C0364"/>
    <n v="7200"/>
  </r>
  <r>
    <x v="7"/>
    <d v="2023-08-24T16:53:29"/>
    <s v="Mobile Cover"/>
    <n v="2"/>
    <n v="150"/>
    <s v="East"/>
    <s v="C0491"/>
    <n v="300"/>
  </r>
  <r>
    <x v="7"/>
    <d v="2023-08-25T04:34:45"/>
    <s v="Headphones"/>
    <n v="3"/>
    <n v="450"/>
    <s v="South"/>
    <s v="C0431"/>
    <n v="1350"/>
  </r>
  <r>
    <x v="7"/>
    <d v="2023-08-25T16:16:01"/>
    <s v="Smart Watch"/>
    <n v="1"/>
    <n v="1800"/>
    <s v="North"/>
    <s v="C0239"/>
    <n v="1800"/>
  </r>
  <r>
    <x v="7"/>
    <d v="2023-08-26T03:57:17"/>
    <s v="Keyboard"/>
    <n v="4"/>
    <n v="1800"/>
    <s v="East"/>
    <s v="C0304"/>
    <n v="7200"/>
  </r>
  <r>
    <x v="7"/>
    <d v="2023-08-26T15:38:33"/>
    <s v="Headphones"/>
    <n v="2"/>
    <n v="150"/>
    <s v="South"/>
    <s v="C0298"/>
    <n v="300"/>
  </r>
  <r>
    <x v="7"/>
    <d v="2023-08-27T03:19:49"/>
    <s v="Mobile Cover"/>
    <n v="6"/>
    <n v="3500"/>
    <s v="North"/>
    <s v="C0076"/>
    <n v="21000"/>
  </r>
  <r>
    <x v="7"/>
    <d v="2023-08-27T15:01:05"/>
    <s v="Smart Watch"/>
    <n v="3"/>
    <n v="450"/>
    <s v="North"/>
    <s v="C0188"/>
    <n v="1350"/>
  </r>
  <r>
    <x v="7"/>
    <d v="2023-08-28T02:42:21"/>
    <s v="Smart Watch"/>
    <n v="2"/>
    <n v="700"/>
    <s v="East"/>
    <s v="C0333"/>
    <n v="1400"/>
  </r>
  <r>
    <x v="7"/>
    <d v="2023-08-28T14:23:37"/>
    <s v="Smart Watch"/>
    <n v="6"/>
    <n v="3500"/>
    <s v="North"/>
    <s v="C0388"/>
    <n v="21000"/>
  </r>
  <r>
    <x v="7"/>
    <d v="2023-08-29T02:04:53"/>
    <s v="Keyboard"/>
    <n v="4"/>
    <n v="3500"/>
    <s v="East"/>
    <s v="C0487"/>
    <n v="14000"/>
  </r>
  <r>
    <x v="7"/>
    <d v="2023-08-29T13:46:09"/>
    <s v="Headphones"/>
    <n v="4"/>
    <n v="150"/>
    <s v="North"/>
    <s v="C0246"/>
    <n v="600"/>
  </r>
  <r>
    <x v="7"/>
    <d v="2023-08-30T01:27:25"/>
    <s v="Keyboard"/>
    <n v="5"/>
    <n v="150"/>
    <s v="West"/>
    <s v="C0130"/>
    <n v="750"/>
  </r>
  <r>
    <x v="7"/>
    <d v="2023-08-30T13:08:41"/>
    <s v="Laptop Bag"/>
    <n v="1"/>
    <n v="1800"/>
    <s v="South"/>
    <s v="C0474"/>
    <n v="1800"/>
  </r>
  <r>
    <x v="7"/>
    <d v="2023-08-31T00:49:57"/>
    <s v="Laptop Bag"/>
    <n v="5"/>
    <n v="150"/>
    <s v="West"/>
    <s v="C0315"/>
    <n v="750"/>
  </r>
  <r>
    <x v="7"/>
    <d v="2023-08-31T12:31:13"/>
    <s v="Headphones"/>
    <n v="3"/>
    <n v="150"/>
    <s v="East"/>
    <s v="C0411"/>
    <n v="450"/>
  </r>
  <r>
    <x v="8"/>
    <d v="2023-09-01T00:12:29"/>
    <s v="Keyboard"/>
    <n v="2"/>
    <n v="150"/>
    <s v="West"/>
    <s v="C0283"/>
    <n v="300"/>
  </r>
  <r>
    <x v="8"/>
    <d v="2023-09-01T11:53:45"/>
    <s v="Mobile Cover"/>
    <n v="3"/>
    <n v="1800"/>
    <s v="East"/>
    <s v="C0079"/>
    <n v="5400"/>
  </r>
  <r>
    <x v="8"/>
    <d v="2023-09-01T23:35:01"/>
    <s v="Smart Watch"/>
    <n v="6"/>
    <n v="700"/>
    <s v="North"/>
    <s v="C0072"/>
    <n v="4200"/>
  </r>
  <r>
    <x v="8"/>
    <d v="2023-09-02T11:16:17"/>
    <s v="Smart Watch"/>
    <n v="4"/>
    <n v="700"/>
    <s v="North"/>
    <s v="C0263"/>
    <n v="2800"/>
  </r>
  <r>
    <x v="8"/>
    <d v="2023-09-02T22:57:34"/>
    <s v="Headphones"/>
    <n v="5"/>
    <n v="150"/>
    <s v="East"/>
    <s v="C0191"/>
    <n v="750"/>
  </r>
  <r>
    <x v="8"/>
    <d v="2023-09-03T10:38:50"/>
    <s v="Laptop Bag"/>
    <n v="5"/>
    <n v="1800"/>
    <s v="West"/>
    <s v="C0367"/>
    <n v="9000"/>
  </r>
  <r>
    <x v="8"/>
    <d v="2023-09-03T22:20:06"/>
    <s v="Laptop Bag"/>
    <n v="5"/>
    <n v="700"/>
    <s v="North"/>
    <s v="C0375"/>
    <n v="3500"/>
  </r>
  <r>
    <x v="8"/>
    <d v="2023-09-04T10:01:22"/>
    <s v="Smart Watch"/>
    <n v="3"/>
    <n v="3500"/>
    <s v="South"/>
    <s v="C0430"/>
    <n v="10500"/>
  </r>
  <r>
    <x v="8"/>
    <d v="2023-09-04T21:42:38"/>
    <s v="Headphones"/>
    <n v="4"/>
    <n v="700"/>
    <s v="North"/>
    <s v="C0063"/>
    <n v="2800"/>
  </r>
  <r>
    <x v="8"/>
    <d v="2023-09-05T09:23:54"/>
    <s v="Keyboard"/>
    <n v="2"/>
    <n v="700"/>
    <s v="South"/>
    <s v="C0488"/>
    <n v="1400"/>
  </r>
  <r>
    <x v="8"/>
    <d v="2023-09-05T21:05:10"/>
    <s v="Laptop Bag"/>
    <n v="6"/>
    <n v="1800"/>
    <s v="West"/>
    <s v="C0380"/>
    <n v="10800"/>
  </r>
  <r>
    <x v="8"/>
    <d v="2023-09-06T08:46:26"/>
    <s v="Keyboard"/>
    <n v="2"/>
    <n v="3500"/>
    <s v="South"/>
    <s v="C0012"/>
    <n v="7000"/>
  </r>
  <r>
    <x v="8"/>
    <d v="2023-09-06T20:27:42"/>
    <s v="Laptop Bag"/>
    <n v="3"/>
    <n v="1800"/>
    <s v="South"/>
    <s v="C0141"/>
    <n v="5400"/>
  </r>
  <r>
    <x v="8"/>
    <d v="2023-09-07T08:08:58"/>
    <s v="Laptop Bag"/>
    <n v="6"/>
    <n v="150"/>
    <s v="South"/>
    <s v="C0254"/>
    <n v="900"/>
  </r>
  <r>
    <x v="8"/>
    <d v="2023-09-07T19:50:14"/>
    <s v="Wireless Mouse"/>
    <n v="5"/>
    <n v="1200"/>
    <s v="South"/>
    <s v="C0043"/>
    <n v="6000"/>
  </r>
  <r>
    <x v="8"/>
    <d v="2023-09-08T07:31:30"/>
    <s v="Laptop Bag"/>
    <n v="1"/>
    <n v="700"/>
    <s v="North"/>
    <s v="C0017"/>
    <n v="700"/>
  </r>
  <r>
    <x v="8"/>
    <d v="2023-09-08T19:12:46"/>
    <s v="Mobile Cover"/>
    <n v="3"/>
    <n v="1200"/>
    <s v="South"/>
    <s v="C0063"/>
    <n v="3600"/>
  </r>
  <r>
    <x v="8"/>
    <d v="2023-09-09T06:54:02"/>
    <s v="Headphones"/>
    <n v="3"/>
    <n v="1800"/>
    <s v="North"/>
    <s v="C0253"/>
    <n v="5400"/>
  </r>
  <r>
    <x v="8"/>
    <d v="2023-09-09T18:35:18"/>
    <s v="Headphones"/>
    <n v="4"/>
    <n v="1800"/>
    <s v="South"/>
    <s v="C0465"/>
    <n v="7200"/>
  </r>
  <r>
    <x v="8"/>
    <d v="2023-09-10T06:16:34"/>
    <s v="Keyboard"/>
    <n v="2"/>
    <n v="1800"/>
    <s v="East"/>
    <s v="C0376"/>
    <n v="3600"/>
  </r>
  <r>
    <x v="8"/>
    <d v="2023-09-10T17:57:50"/>
    <s v="Laptop Bag"/>
    <n v="3"/>
    <n v="1200"/>
    <s v="West"/>
    <s v="C0292"/>
    <n v="3600"/>
  </r>
  <r>
    <x v="8"/>
    <d v="2023-09-11T05:39:06"/>
    <s v="Mobile Cover"/>
    <n v="3"/>
    <n v="1800"/>
    <s v="South"/>
    <s v="C0469"/>
    <n v="5400"/>
  </r>
  <r>
    <x v="8"/>
    <d v="2023-09-11T17:20:22"/>
    <s v="Keyboard"/>
    <n v="5"/>
    <n v="150"/>
    <s v="East"/>
    <s v="C0008"/>
    <n v="750"/>
  </r>
  <r>
    <x v="8"/>
    <d v="2023-09-12T05:01:38"/>
    <s v="Wireless Mouse"/>
    <n v="5"/>
    <n v="1800"/>
    <s v="South"/>
    <s v="C0325"/>
    <n v="9000"/>
  </r>
  <r>
    <x v="8"/>
    <d v="2023-09-12T16:42:55"/>
    <s v="Keyboard"/>
    <n v="6"/>
    <n v="450"/>
    <s v="South"/>
    <s v="C0090"/>
    <n v="2700"/>
  </r>
  <r>
    <x v="8"/>
    <d v="2023-09-13T04:24:11"/>
    <s v="Keyboard"/>
    <n v="1"/>
    <n v="1200"/>
    <s v="South"/>
    <s v="C0208"/>
    <n v="1200"/>
  </r>
  <r>
    <x v="8"/>
    <d v="2023-09-13T16:05:27"/>
    <s v="Laptop Bag"/>
    <n v="4"/>
    <n v="450"/>
    <s v="East"/>
    <s v="C0292"/>
    <n v="1800"/>
  </r>
  <r>
    <x v="8"/>
    <d v="2023-09-14T03:46:43"/>
    <s v="Wireless Mouse"/>
    <n v="1"/>
    <n v="1800"/>
    <s v="West"/>
    <s v="C0284"/>
    <n v="1800"/>
  </r>
  <r>
    <x v="8"/>
    <d v="2023-09-14T15:27:59"/>
    <s v="Keyboard"/>
    <n v="6"/>
    <n v="150"/>
    <s v="East"/>
    <s v="C0118"/>
    <n v="900"/>
  </r>
  <r>
    <x v="8"/>
    <d v="2023-09-15T03:09:15"/>
    <s v="Mobile Cover"/>
    <n v="5"/>
    <n v="700"/>
    <s v="West"/>
    <s v="C0349"/>
    <n v="3500"/>
  </r>
  <r>
    <x v="8"/>
    <d v="2023-09-15T14:50:31"/>
    <s v="Mobile Cover"/>
    <n v="2"/>
    <n v="3500"/>
    <s v="South"/>
    <s v="C0175"/>
    <n v="7000"/>
  </r>
  <r>
    <x v="8"/>
    <d v="2023-09-16T02:31:47"/>
    <s v="Headphones"/>
    <n v="5"/>
    <n v="3500"/>
    <s v="North"/>
    <s v="C0076"/>
    <n v="17500"/>
  </r>
  <r>
    <x v="8"/>
    <d v="2023-09-16T14:13:03"/>
    <s v="Wireless Mouse"/>
    <n v="4"/>
    <n v="1800"/>
    <s v="South"/>
    <s v="C0101"/>
    <n v="7200"/>
  </r>
  <r>
    <x v="8"/>
    <d v="2023-09-17T01:54:19"/>
    <s v="Wireless Mouse"/>
    <n v="5"/>
    <n v="150"/>
    <s v="West"/>
    <s v="C0414"/>
    <n v="750"/>
  </r>
  <r>
    <x v="8"/>
    <d v="2023-09-17T13:35:35"/>
    <s v="Headphones"/>
    <n v="4"/>
    <n v="1200"/>
    <s v="East"/>
    <s v="C0151"/>
    <n v="4800"/>
  </r>
  <r>
    <x v="8"/>
    <d v="2023-09-18T01:16:51"/>
    <s v="Keyboard"/>
    <n v="4"/>
    <n v="450"/>
    <s v="South"/>
    <s v="C0400"/>
    <n v="1800"/>
  </r>
  <r>
    <x v="8"/>
    <d v="2023-09-18T12:58:07"/>
    <s v="Wireless Mouse"/>
    <n v="4"/>
    <n v="450"/>
    <s v="East"/>
    <s v="C0270"/>
    <n v="1800"/>
  </r>
  <r>
    <x v="8"/>
    <d v="2023-09-19T00:39:23"/>
    <s v="Mobile Cover"/>
    <n v="6"/>
    <n v="450"/>
    <s v="East"/>
    <s v="C0458"/>
    <n v="2700"/>
  </r>
  <r>
    <x v="8"/>
    <d v="2023-09-19T12:20:39"/>
    <s v="Mobile Cover"/>
    <n v="4"/>
    <n v="1200"/>
    <s v="East"/>
    <s v="C0071"/>
    <n v="4800"/>
  </r>
  <r>
    <x v="8"/>
    <d v="2023-09-20T00:01:55"/>
    <s v="Laptop Bag"/>
    <n v="4"/>
    <n v="3500"/>
    <s v="South"/>
    <s v="C0493"/>
    <n v="14000"/>
  </r>
  <r>
    <x v="8"/>
    <d v="2023-09-20T11:43:11"/>
    <s v="Wireless Mouse"/>
    <n v="2"/>
    <n v="150"/>
    <s v="East"/>
    <s v="C0180"/>
    <n v="300"/>
  </r>
  <r>
    <x v="8"/>
    <d v="2023-09-20T23:24:27"/>
    <s v="Keyboard"/>
    <n v="1"/>
    <n v="1200"/>
    <s v="East"/>
    <s v="C0124"/>
    <n v="1200"/>
  </r>
  <r>
    <x v="8"/>
    <d v="2023-09-21T11:05:43"/>
    <s v="Headphones"/>
    <n v="3"/>
    <n v="450"/>
    <s v="South"/>
    <s v="C0381"/>
    <n v="1350"/>
  </r>
  <r>
    <x v="8"/>
    <d v="2023-09-21T22:46:59"/>
    <s v="Headphones"/>
    <n v="1"/>
    <n v="1800"/>
    <s v="East"/>
    <s v="C0293"/>
    <n v="1800"/>
  </r>
  <r>
    <x v="8"/>
    <d v="2023-09-22T10:28:16"/>
    <s v="Keyboard"/>
    <n v="4"/>
    <n v="700"/>
    <s v="South"/>
    <s v="C0285"/>
    <n v="2800"/>
  </r>
  <r>
    <x v="8"/>
    <d v="2023-09-22T22:09:32"/>
    <s v="Smart Watch"/>
    <n v="2"/>
    <n v="1200"/>
    <s v="West"/>
    <s v="C0195"/>
    <n v="2400"/>
  </r>
  <r>
    <x v="8"/>
    <d v="2023-09-23T09:50:48"/>
    <s v="Laptop Bag"/>
    <n v="5"/>
    <n v="1200"/>
    <s v="West"/>
    <s v="C0399"/>
    <n v="6000"/>
  </r>
  <r>
    <x v="8"/>
    <d v="2023-09-23T21:32:04"/>
    <s v="Headphones"/>
    <n v="2"/>
    <n v="150"/>
    <s v="West"/>
    <s v="C0228"/>
    <n v="300"/>
  </r>
  <r>
    <x v="8"/>
    <d v="2023-09-24T09:13:20"/>
    <s v="Wireless Mouse"/>
    <n v="4"/>
    <n v="150"/>
    <s v="East"/>
    <s v="C0431"/>
    <n v="600"/>
  </r>
  <r>
    <x v="8"/>
    <d v="2023-09-24T20:54:36"/>
    <s v="Laptop Bag"/>
    <n v="2"/>
    <n v="1200"/>
    <s v="North"/>
    <s v="C0430"/>
    <n v="2400"/>
  </r>
  <r>
    <x v="8"/>
    <d v="2023-09-25T08:35:52"/>
    <s v="Wireless Mouse"/>
    <n v="2"/>
    <n v="450"/>
    <s v="North"/>
    <s v="C0436"/>
    <n v="900"/>
  </r>
  <r>
    <x v="8"/>
    <d v="2023-09-25T20:17:08"/>
    <s v="Mobile Cover"/>
    <n v="4"/>
    <n v="700"/>
    <s v="East"/>
    <s v="C0275"/>
    <n v="2800"/>
  </r>
  <r>
    <x v="8"/>
    <d v="2023-09-26T07:58:24"/>
    <s v="Laptop Bag"/>
    <n v="6"/>
    <n v="150"/>
    <s v="North"/>
    <s v="C0461"/>
    <n v="900"/>
  </r>
  <r>
    <x v="8"/>
    <d v="2023-09-26T19:39:40"/>
    <s v="Headphones"/>
    <n v="2"/>
    <n v="450"/>
    <s v="South"/>
    <s v="C0106"/>
    <n v="900"/>
  </r>
  <r>
    <x v="8"/>
    <d v="2023-09-27T07:20:56"/>
    <s v="Laptop Bag"/>
    <n v="3"/>
    <n v="1800"/>
    <s v="North"/>
    <s v="C0021"/>
    <n v="5400"/>
  </r>
  <r>
    <x v="8"/>
    <d v="2023-09-27T19:02:12"/>
    <s v="Laptop Bag"/>
    <n v="3"/>
    <n v="150"/>
    <s v="East"/>
    <s v="C0064"/>
    <n v="450"/>
  </r>
  <r>
    <x v="8"/>
    <d v="2023-09-28T06:43:28"/>
    <s v="Laptop Bag"/>
    <n v="2"/>
    <n v="450"/>
    <s v="East"/>
    <s v="C0165"/>
    <n v="900"/>
  </r>
  <r>
    <x v="8"/>
    <d v="2023-09-28T18:24:44"/>
    <s v="Smart Watch"/>
    <n v="6"/>
    <n v="450"/>
    <s v="South"/>
    <s v="C0027"/>
    <n v="2700"/>
  </r>
  <r>
    <x v="8"/>
    <d v="2023-09-29T06:06:00"/>
    <s v="Laptop Bag"/>
    <n v="5"/>
    <n v="700"/>
    <s v="West"/>
    <s v="C0311"/>
    <n v="3500"/>
  </r>
  <r>
    <x v="8"/>
    <d v="2023-09-29T17:47:16"/>
    <s v="Wireless Mouse"/>
    <n v="4"/>
    <n v="700"/>
    <s v="East"/>
    <s v="C0285"/>
    <n v="2800"/>
  </r>
  <r>
    <x v="8"/>
    <d v="2023-09-30T05:28:32"/>
    <s v="Mobile Cover"/>
    <n v="3"/>
    <n v="1800"/>
    <s v="South"/>
    <s v="C0148"/>
    <n v="5400"/>
  </r>
  <r>
    <x v="8"/>
    <d v="2023-09-30T17:09:48"/>
    <s v="Keyboard"/>
    <n v="5"/>
    <n v="450"/>
    <s v="North"/>
    <s v="C0281"/>
    <n v="2250"/>
  </r>
  <r>
    <x v="9"/>
    <d v="2023-10-01T04:51:04"/>
    <s v="Laptop Bag"/>
    <n v="2"/>
    <n v="3500"/>
    <s v="North"/>
    <s v="C0326"/>
    <n v="7000"/>
  </r>
  <r>
    <x v="9"/>
    <d v="2023-10-01T16:32:20"/>
    <s v="Headphones"/>
    <n v="5"/>
    <n v="450"/>
    <s v="South"/>
    <s v="C0319"/>
    <n v="2250"/>
  </r>
  <r>
    <x v="9"/>
    <d v="2023-10-02T04:13:37"/>
    <s v="Laptop Bag"/>
    <n v="1"/>
    <n v="700"/>
    <s v="South"/>
    <s v="C0164"/>
    <n v="700"/>
  </r>
  <r>
    <x v="9"/>
    <d v="2023-10-02T15:54:53"/>
    <s v="Headphones"/>
    <n v="3"/>
    <n v="3500"/>
    <s v="East"/>
    <s v="C0386"/>
    <n v="10500"/>
  </r>
  <r>
    <x v="9"/>
    <d v="2023-10-03T03:36:09"/>
    <s v="Wireless Mouse"/>
    <n v="2"/>
    <n v="150"/>
    <s v="North"/>
    <s v="C0406"/>
    <n v="300"/>
  </r>
  <r>
    <x v="9"/>
    <d v="2023-10-03T15:17:25"/>
    <s v="Headphones"/>
    <n v="4"/>
    <n v="150"/>
    <s v="South"/>
    <s v="C0224"/>
    <n v="600"/>
  </r>
  <r>
    <x v="9"/>
    <d v="2023-10-04T02:58:41"/>
    <s v="Keyboard"/>
    <n v="6"/>
    <n v="1200"/>
    <s v="North"/>
    <s v="C0272"/>
    <n v="7200"/>
  </r>
  <r>
    <x v="9"/>
    <d v="2023-10-04T14:39:57"/>
    <s v="Mobile Cover"/>
    <n v="2"/>
    <n v="700"/>
    <s v="South"/>
    <s v="C0146"/>
    <n v="1400"/>
  </r>
  <r>
    <x v="9"/>
    <d v="2023-10-05T02:21:13"/>
    <s v="Headphones"/>
    <n v="4"/>
    <n v="1200"/>
    <s v="North"/>
    <s v="C0453"/>
    <n v="4800"/>
  </r>
  <r>
    <x v="9"/>
    <d v="2023-10-05T14:02:29"/>
    <s v="Headphones"/>
    <n v="6"/>
    <n v="3500"/>
    <s v="West"/>
    <s v="C0438"/>
    <n v="21000"/>
  </r>
  <r>
    <x v="9"/>
    <d v="2023-10-06T01:43:45"/>
    <s v="Mobile Cover"/>
    <n v="6"/>
    <n v="700"/>
    <s v="East"/>
    <s v="C0356"/>
    <n v="4200"/>
  </r>
  <r>
    <x v="9"/>
    <d v="2023-10-06T13:25:01"/>
    <s v="Keyboard"/>
    <n v="2"/>
    <n v="1800"/>
    <s v="North"/>
    <s v="C0030"/>
    <n v="3600"/>
  </r>
  <r>
    <x v="9"/>
    <d v="2023-10-07T01:06:17"/>
    <s v="Laptop Bag"/>
    <n v="5"/>
    <n v="450"/>
    <s v="West"/>
    <s v="C0045"/>
    <n v="2250"/>
  </r>
  <r>
    <x v="9"/>
    <d v="2023-10-07T12:47:33"/>
    <s v="Headphones"/>
    <n v="5"/>
    <n v="1800"/>
    <s v="North"/>
    <s v="C0275"/>
    <n v="9000"/>
  </r>
  <r>
    <x v="9"/>
    <d v="2023-10-08T00:28:49"/>
    <s v="Mobile Cover"/>
    <n v="6"/>
    <n v="3500"/>
    <s v="North"/>
    <s v="C0471"/>
    <n v="21000"/>
  </r>
  <r>
    <x v="9"/>
    <d v="2023-10-08T12:10:05"/>
    <s v="Wireless Mouse"/>
    <n v="5"/>
    <n v="700"/>
    <s v="West"/>
    <s v="C0034"/>
    <n v="3500"/>
  </r>
  <r>
    <x v="9"/>
    <d v="2023-10-08T23:51:21"/>
    <s v="Mobile Cover"/>
    <n v="1"/>
    <n v="3500"/>
    <s v="North"/>
    <s v="C0141"/>
    <n v="3500"/>
  </r>
  <r>
    <x v="9"/>
    <d v="2023-10-09T11:32:37"/>
    <s v="Wireless Mouse"/>
    <n v="6"/>
    <n v="450"/>
    <s v="North"/>
    <s v="C0427"/>
    <n v="2700"/>
  </r>
  <r>
    <x v="9"/>
    <d v="2023-10-09T23:13:53"/>
    <s v="Keyboard"/>
    <n v="6"/>
    <n v="150"/>
    <s v="East"/>
    <s v="C0318"/>
    <n v="900"/>
  </r>
  <r>
    <x v="9"/>
    <d v="2023-10-10T10:55:09"/>
    <s v="Laptop Bag"/>
    <n v="4"/>
    <n v="150"/>
    <s v="West"/>
    <s v="C0374"/>
    <n v="600"/>
  </r>
  <r>
    <x v="9"/>
    <d v="2023-10-10T22:36:25"/>
    <s v="Mobile Cover"/>
    <n v="5"/>
    <n v="3500"/>
    <s v="West"/>
    <s v="C0221"/>
    <n v="17500"/>
  </r>
  <r>
    <x v="9"/>
    <d v="2023-10-11T10:17:42"/>
    <s v="Smart Watch"/>
    <n v="6"/>
    <n v="1200"/>
    <s v="South"/>
    <s v="C0356"/>
    <n v="7200"/>
  </r>
  <r>
    <x v="9"/>
    <d v="2023-10-11T21:58:58"/>
    <s v="Headphones"/>
    <n v="1"/>
    <n v="700"/>
    <s v="North"/>
    <s v="C0022"/>
    <n v="700"/>
  </r>
  <r>
    <x v="9"/>
    <d v="2023-10-12T09:40:14"/>
    <s v="Keyboard"/>
    <n v="4"/>
    <n v="700"/>
    <s v="East"/>
    <s v="C0180"/>
    <n v="2800"/>
  </r>
  <r>
    <x v="9"/>
    <d v="2023-10-12T21:21:30"/>
    <s v="Mobile Cover"/>
    <n v="2"/>
    <n v="150"/>
    <s v="North"/>
    <s v="C0436"/>
    <n v="300"/>
  </r>
  <r>
    <x v="9"/>
    <d v="2023-10-13T09:02:46"/>
    <s v="Headphones"/>
    <n v="6"/>
    <n v="1800"/>
    <s v="North"/>
    <s v="C0367"/>
    <n v="10800"/>
  </r>
  <r>
    <x v="9"/>
    <d v="2023-10-13T20:44:02"/>
    <s v="Mobile Cover"/>
    <n v="1"/>
    <n v="450"/>
    <s v="South"/>
    <s v="C0420"/>
    <n v="450"/>
  </r>
  <r>
    <x v="9"/>
    <d v="2023-10-14T08:25:18"/>
    <s v="Wireless Mouse"/>
    <n v="3"/>
    <n v="1800"/>
    <s v="North"/>
    <s v="C0329"/>
    <n v="5400"/>
  </r>
  <r>
    <x v="9"/>
    <d v="2023-10-14T20:06:34"/>
    <s v="Mobile Cover"/>
    <n v="1"/>
    <n v="1800"/>
    <s v="East"/>
    <s v="C0231"/>
    <n v="1800"/>
  </r>
  <r>
    <x v="9"/>
    <d v="2023-10-15T07:47:50"/>
    <s v="Smart Watch"/>
    <n v="1"/>
    <n v="3500"/>
    <s v="East"/>
    <s v="C0499"/>
    <n v="3500"/>
  </r>
  <r>
    <x v="9"/>
    <d v="2023-10-15T19:29:06"/>
    <s v="Mobile Cover"/>
    <n v="4"/>
    <n v="150"/>
    <s v="South"/>
    <s v="C0403"/>
    <n v="600"/>
  </r>
  <r>
    <x v="9"/>
    <d v="2023-10-16T07:10:22"/>
    <s v="Mobile Cover"/>
    <n v="2"/>
    <n v="150"/>
    <s v="North"/>
    <s v="C0038"/>
    <n v="300"/>
  </r>
  <r>
    <x v="9"/>
    <d v="2023-10-16T18:51:38"/>
    <s v="Smart Watch"/>
    <n v="3"/>
    <n v="150"/>
    <s v="East"/>
    <s v="C0070"/>
    <n v="450"/>
  </r>
  <r>
    <x v="9"/>
    <d v="2023-10-17T06:32:54"/>
    <s v="Keyboard"/>
    <n v="5"/>
    <n v="3500"/>
    <s v="North"/>
    <s v="C0116"/>
    <n v="17500"/>
  </r>
  <r>
    <x v="9"/>
    <d v="2023-10-17T18:14:10"/>
    <s v="Mobile Cover"/>
    <n v="5"/>
    <n v="1200"/>
    <s v="North"/>
    <s v="C0239"/>
    <n v="6000"/>
  </r>
  <r>
    <x v="9"/>
    <d v="2023-10-18T05:55:26"/>
    <s v="Smart Watch"/>
    <n v="1"/>
    <n v="1800"/>
    <s v="North"/>
    <s v="C0335"/>
    <n v="1800"/>
  </r>
  <r>
    <x v="9"/>
    <d v="2023-10-18T17:36:42"/>
    <s v="Headphones"/>
    <n v="4"/>
    <n v="3500"/>
    <s v="South"/>
    <s v="C0441"/>
    <n v="14000"/>
  </r>
  <r>
    <x v="9"/>
    <d v="2023-10-19T05:17:58"/>
    <s v="Wireless Mouse"/>
    <n v="4"/>
    <n v="700"/>
    <s v="North"/>
    <s v="C0148"/>
    <n v="2800"/>
  </r>
  <r>
    <x v="9"/>
    <d v="2023-10-19T16:59:14"/>
    <s v="Wireless Mouse"/>
    <n v="5"/>
    <n v="450"/>
    <s v="East"/>
    <s v="C0009"/>
    <n v="2250"/>
  </r>
  <r>
    <x v="9"/>
    <d v="2023-10-20T04:40:30"/>
    <s v="Mobile Cover"/>
    <n v="3"/>
    <n v="1200"/>
    <s v="North"/>
    <s v="C0288"/>
    <n v="3600"/>
  </r>
  <r>
    <x v="9"/>
    <d v="2023-10-20T16:21:46"/>
    <s v="Keyboard"/>
    <n v="2"/>
    <n v="700"/>
    <s v="East"/>
    <s v="C0388"/>
    <n v="1400"/>
  </r>
  <r>
    <x v="9"/>
    <d v="2023-10-21T04:03:03"/>
    <s v="Keyboard"/>
    <n v="3"/>
    <n v="1800"/>
    <s v="North"/>
    <s v="C0050"/>
    <n v="5400"/>
  </r>
  <r>
    <x v="9"/>
    <d v="2023-10-21T15:44:19"/>
    <s v="Headphones"/>
    <n v="6"/>
    <n v="150"/>
    <s v="East"/>
    <s v="C0338"/>
    <n v="900"/>
  </r>
  <r>
    <x v="9"/>
    <d v="2023-10-22T03:25:35"/>
    <s v="Mobile Cover"/>
    <n v="6"/>
    <n v="1800"/>
    <s v="East"/>
    <s v="C0005"/>
    <n v="10800"/>
  </r>
  <r>
    <x v="9"/>
    <d v="2023-10-22T15:06:51"/>
    <s v="Wireless Mouse"/>
    <n v="2"/>
    <n v="3500"/>
    <s v="North"/>
    <s v="C0404"/>
    <n v="7000"/>
  </r>
  <r>
    <x v="9"/>
    <d v="2023-10-23T02:48:07"/>
    <s v="Keyboard"/>
    <n v="5"/>
    <n v="450"/>
    <s v="North"/>
    <s v="C0343"/>
    <n v="2250"/>
  </r>
  <r>
    <x v="9"/>
    <d v="2023-10-23T14:29:23"/>
    <s v="Mobile Cover"/>
    <n v="2"/>
    <n v="3500"/>
    <s v="East"/>
    <s v="C0126"/>
    <n v="7000"/>
  </r>
  <r>
    <x v="9"/>
    <d v="2023-10-24T02:10:39"/>
    <s v="Keyboard"/>
    <n v="4"/>
    <n v="1200"/>
    <s v="West"/>
    <s v="C0075"/>
    <n v="4800"/>
  </r>
  <r>
    <x v="9"/>
    <d v="2023-10-24T13:51:55"/>
    <s v="Smart Watch"/>
    <n v="6"/>
    <n v="1200"/>
    <s v="South"/>
    <s v="C0165"/>
    <n v="7200"/>
  </r>
  <r>
    <x v="9"/>
    <d v="2023-10-25T01:33:11"/>
    <s v="Keyboard"/>
    <n v="1"/>
    <n v="450"/>
    <s v="West"/>
    <s v="C0278"/>
    <n v="450"/>
  </r>
  <r>
    <x v="9"/>
    <d v="2023-10-25T13:14:27"/>
    <s v="Wireless Mouse"/>
    <n v="1"/>
    <n v="700"/>
    <s v="West"/>
    <s v="C0442"/>
    <n v="700"/>
  </r>
  <r>
    <x v="9"/>
    <d v="2023-10-26T00:55:43"/>
    <s v="Laptop Bag"/>
    <n v="5"/>
    <n v="700"/>
    <s v="North"/>
    <s v="C0324"/>
    <n v="3500"/>
  </r>
  <r>
    <x v="9"/>
    <d v="2023-10-26T12:36:59"/>
    <s v="Headphones"/>
    <n v="4"/>
    <n v="1200"/>
    <s v="South"/>
    <s v="C0477"/>
    <n v="4800"/>
  </r>
  <r>
    <x v="9"/>
    <d v="2023-10-27T00:18:15"/>
    <s v="Headphones"/>
    <n v="3"/>
    <n v="1200"/>
    <s v="West"/>
    <s v="C0300"/>
    <n v="3600"/>
  </r>
  <r>
    <x v="9"/>
    <d v="2023-10-27T11:59:31"/>
    <s v="Wireless Mouse"/>
    <n v="4"/>
    <n v="150"/>
    <s v="North"/>
    <s v="C0290"/>
    <n v="600"/>
  </r>
  <r>
    <x v="9"/>
    <d v="2023-10-27T23:40:47"/>
    <s v="Keyboard"/>
    <n v="1"/>
    <n v="700"/>
    <s v="West"/>
    <s v="C0077"/>
    <n v="700"/>
  </r>
  <r>
    <x v="9"/>
    <d v="2023-10-28T11:22:03"/>
    <s v="Mobile Cover"/>
    <n v="1"/>
    <n v="450"/>
    <s v="West"/>
    <s v="C0298"/>
    <n v="450"/>
  </r>
  <r>
    <x v="9"/>
    <d v="2023-10-28T23:03:19"/>
    <s v="Keyboard"/>
    <n v="6"/>
    <n v="700"/>
    <s v="North"/>
    <s v="C0137"/>
    <n v="4200"/>
  </r>
  <r>
    <x v="9"/>
    <d v="2023-10-29T10:44:35"/>
    <s v="Wireless Mouse"/>
    <n v="4"/>
    <n v="150"/>
    <s v="North"/>
    <s v="C0106"/>
    <n v="600"/>
  </r>
  <r>
    <x v="9"/>
    <d v="2023-10-29T22:25:51"/>
    <s v="Headphones"/>
    <n v="4"/>
    <n v="3500"/>
    <s v="North"/>
    <s v="C0095"/>
    <n v="14000"/>
  </r>
  <r>
    <x v="9"/>
    <d v="2023-10-30T10:07:07"/>
    <s v="Keyboard"/>
    <n v="1"/>
    <n v="1200"/>
    <s v="South"/>
    <s v="C0135"/>
    <n v="1200"/>
  </r>
  <r>
    <x v="9"/>
    <d v="2023-10-30T21:48:24"/>
    <s v="Headphones"/>
    <n v="3"/>
    <n v="1200"/>
    <s v="West"/>
    <s v="C0068"/>
    <n v="3600"/>
  </r>
  <r>
    <x v="9"/>
    <d v="2023-10-31T09:29:40"/>
    <s v="Mobile Cover"/>
    <n v="5"/>
    <n v="150"/>
    <s v="North"/>
    <s v="C0147"/>
    <n v="750"/>
  </r>
  <r>
    <x v="9"/>
    <d v="2023-10-31T21:10:56"/>
    <s v="Headphones"/>
    <n v="5"/>
    <n v="450"/>
    <s v="East"/>
    <s v="C0490"/>
    <n v="2250"/>
  </r>
  <r>
    <x v="10"/>
    <d v="2023-11-01T08:52:12"/>
    <s v="Headphones"/>
    <n v="4"/>
    <n v="1200"/>
    <s v="West"/>
    <s v="C0478"/>
    <n v="4800"/>
  </r>
  <r>
    <x v="10"/>
    <d v="2023-11-01T20:33:28"/>
    <s v="Laptop Bag"/>
    <n v="5"/>
    <n v="1800"/>
    <s v="East"/>
    <s v="C0159"/>
    <n v="9000"/>
  </r>
  <r>
    <x v="10"/>
    <d v="2023-11-02T08:14:44"/>
    <s v="Laptop Bag"/>
    <n v="1"/>
    <n v="1200"/>
    <s v="South"/>
    <s v="C0384"/>
    <n v="1200"/>
  </r>
  <r>
    <x v="10"/>
    <d v="2023-11-02T19:56:00"/>
    <s v="Smart Watch"/>
    <n v="1"/>
    <n v="1800"/>
    <s v="North"/>
    <s v="C0163"/>
    <n v="1800"/>
  </r>
  <r>
    <x v="10"/>
    <d v="2023-11-03T07:37:16"/>
    <s v="Laptop Bag"/>
    <n v="4"/>
    <n v="150"/>
    <s v="East"/>
    <s v="C0441"/>
    <n v="600"/>
  </r>
  <r>
    <x v="10"/>
    <d v="2023-11-03T19:18:32"/>
    <s v="Headphones"/>
    <n v="4"/>
    <n v="150"/>
    <s v="South"/>
    <s v="C0341"/>
    <n v="600"/>
  </r>
  <r>
    <x v="10"/>
    <d v="2023-11-04T06:59:48"/>
    <s v="Wireless Mouse"/>
    <n v="6"/>
    <n v="1200"/>
    <s v="North"/>
    <s v="C0189"/>
    <n v="7200"/>
  </r>
  <r>
    <x v="10"/>
    <d v="2023-11-04T18:41:04"/>
    <s v="Headphones"/>
    <n v="4"/>
    <n v="700"/>
    <s v="East"/>
    <s v="C0415"/>
    <n v="2800"/>
  </r>
  <r>
    <x v="10"/>
    <d v="2023-11-05T06:22:20"/>
    <s v="Wireless Mouse"/>
    <n v="3"/>
    <n v="1800"/>
    <s v="East"/>
    <s v="C0339"/>
    <n v="5400"/>
  </r>
  <r>
    <x v="10"/>
    <d v="2023-11-05T18:03:36"/>
    <s v="Wireless Mouse"/>
    <n v="5"/>
    <n v="450"/>
    <s v="South"/>
    <s v="C0095"/>
    <n v="2250"/>
  </r>
  <r>
    <x v="10"/>
    <d v="2023-11-06T05:44:52"/>
    <s v="Laptop Bag"/>
    <n v="4"/>
    <n v="1200"/>
    <s v="North"/>
    <s v="C0181"/>
    <n v="4800"/>
  </r>
  <r>
    <x v="10"/>
    <d v="2023-11-06T17:26:08"/>
    <s v="Keyboard"/>
    <n v="2"/>
    <n v="450"/>
    <s v="North"/>
    <s v="C0288"/>
    <n v="900"/>
  </r>
  <r>
    <x v="10"/>
    <d v="2023-11-07T05:07:24"/>
    <s v="Mobile Cover"/>
    <n v="6"/>
    <n v="1200"/>
    <s v="East"/>
    <s v="C0322"/>
    <n v="7200"/>
  </r>
  <r>
    <x v="10"/>
    <d v="2023-11-07T16:48:40"/>
    <s v="Laptop Bag"/>
    <n v="2"/>
    <n v="700"/>
    <s v="East"/>
    <s v="C0187"/>
    <n v="1400"/>
  </r>
  <r>
    <x v="10"/>
    <d v="2023-11-08T04:29:56"/>
    <s v="Laptop Bag"/>
    <n v="1"/>
    <n v="700"/>
    <s v="East"/>
    <s v="C0372"/>
    <n v="700"/>
  </r>
  <r>
    <x v="10"/>
    <d v="2023-11-08T16:11:12"/>
    <s v="Keyboard"/>
    <n v="5"/>
    <n v="700"/>
    <s v="North"/>
    <s v="C0138"/>
    <n v="3500"/>
  </r>
  <r>
    <x v="10"/>
    <d v="2023-11-09T03:52:28"/>
    <s v="Mobile Cover"/>
    <n v="4"/>
    <n v="3500"/>
    <s v="South"/>
    <s v="C0130"/>
    <n v="14000"/>
  </r>
  <r>
    <x v="10"/>
    <d v="2023-11-09T15:33:45"/>
    <s v="Headphones"/>
    <n v="2"/>
    <n v="700"/>
    <s v="South"/>
    <s v="C0194"/>
    <n v="1400"/>
  </r>
  <r>
    <x v="10"/>
    <d v="2023-11-10T03:15:01"/>
    <s v="Smart Watch"/>
    <n v="5"/>
    <n v="150"/>
    <s v="North"/>
    <s v="C0316"/>
    <n v="750"/>
  </r>
  <r>
    <x v="10"/>
    <d v="2023-11-10T14:56:17"/>
    <s v="Smart Watch"/>
    <n v="1"/>
    <n v="150"/>
    <s v="West"/>
    <s v="C0472"/>
    <n v="150"/>
  </r>
  <r>
    <x v="10"/>
    <d v="2023-11-11T02:37:33"/>
    <s v="Headphones"/>
    <n v="3"/>
    <n v="3500"/>
    <s v="South"/>
    <s v="C0273"/>
    <n v="10500"/>
  </r>
  <r>
    <x v="10"/>
    <d v="2023-11-11T14:18:49"/>
    <s v="Laptop Bag"/>
    <n v="6"/>
    <n v="1800"/>
    <s v="East"/>
    <s v="C0352"/>
    <n v="10800"/>
  </r>
  <r>
    <x v="10"/>
    <d v="2023-11-12T02:00:05"/>
    <s v="Mobile Cover"/>
    <n v="5"/>
    <n v="450"/>
    <s v="West"/>
    <s v="C0144"/>
    <n v="2250"/>
  </r>
  <r>
    <x v="10"/>
    <d v="2023-11-12T13:41:21"/>
    <s v="Laptop Bag"/>
    <n v="5"/>
    <n v="1200"/>
    <s v="West"/>
    <s v="C0016"/>
    <n v="6000"/>
  </r>
  <r>
    <x v="10"/>
    <d v="2023-11-13T01:22:37"/>
    <s v="Wireless Mouse"/>
    <n v="3"/>
    <n v="1200"/>
    <s v="South"/>
    <s v="C0302"/>
    <n v="3600"/>
  </r>
  <r>
    <x v="10"/>
    <d v="2023-11-13T13:03:53"/>
    <s v="Laptop Bag"/>
    <n v="5"/>
    <n v="3500"/>
    <s v="West"/>
    <s v="C0423"/>
    <n v="17500"/>
  </r>
  <r>
    <x v="10"/>
    <d v="2023-11-14T00:45:09"/>
    <s v="Laptop Bag"/>
    <n v="1"/>
    <n v="150"/>
    <s v="West"/>
    <s v="C0245"/>
    <n v="150"/>
  </r>
  <r>
    <x v="10"/>
    <d v="2023-11-14T12:26:25"/>
    <s v="Headphones"/>
    <n v="1"/>
    <n v="1200"/>
    <s v="South"/>
    <s v="C0415"/>
    <n v="1200"/>
  </r>
  <r>
    <x v="10"/>
    <d v="2023-11-15T00:07:41"/>
    <s v="Headphones"/>
    <n v="3"/>
    <n v="150"/>
    <s v="South"/>
    <s v="C0107"/>
    <n v="450"/>
  </r>
  <r>
    <x v="10"/>
    <d v="2023-11-15T11:48:57"/>
    <s v="Headphones"/>
    <n v="6"/>
    <n v="1800"/>
    <s v="West"/>
    <s v="C0088"/>
    <n v="10800"/>
  </r>
  <r>
    <x v="10"/>
    <d v="2023-11-15T23:30:13"/>
    <s v="Smart Watch"/>
    <n v="4"/>
    <n v="450"/>
    <s v="East"/>
    <s v="C0129"/>
    <n v="1800"/>
  </r>
  <r>
    <x v="10"/>
    <d v="2023-11-16T11:11:29"/>
    <s v="Wireless Mouse"/>
    <n v="2"/>
    <n v="1800"/>
    <s v="North"/>
    <s v="C0395"/>
    <n v="3600"/>
  </r>
  <r>
    <x v="10"/>
    <d v="2023-11-16T22:52:45"/>
    <s v="Headphones"/>
    <n v="4"/>
    <n v="3500"/>
    <s v="West"/>
    <s v="C0375"/>
    <n v="14000"/>
  </r>
  <r>
    <x v="10"/>
    <d v="2023-11-17T10:34:01"/>
    <s v="Mobile Cover"/>
    <n v="5"/>
    <n v="700"/>
    <s v="West"/>
    <s v="C0341"/>
    <n v="3500"/>
  </r>
  <r>
    <x v="10"/>
    <d v="2023-11-17T22:15:17"/>
    <s v="Smart Watch"/>
    <n v="2"/>
    <n v="700"/>
    <s v="East"/>
    <s v="C0004"/>
    <n v="1400"/>
  </r>
  <r>
    <x v="10"/>
    <d v="2023-11-18T09:56:33"/>
    <s v="Keyboard"/>
    <n v="3"/>
    <n v="700"/>
    <s v="West"/>
    <s v="C0327"/>
    <n v="2100"/>
  </r>
  <r>
    <x v="10"/>
    <d v="2023-11-18T21:37:50"/>
    <s v="Mobile Cover"/>
    <n v="3"/>
    <n v="1800"/>
    <s v="West"/>
    <s v="C0410"/>
    <n v="5400"/>
  </r>
  <r>
    <x v="10"/>
    <d v="2023-11-19T09:19:06"/>
    <s v="Mobile Cover"/>
    <n v="6"/>
    <n v="1200"/>
    <s v="North"/>
    <s v="C0367"/>
    <n v="7200"/>
  </r>
  <r>
    <x v="10"/>
    <d v="2023-11-19T21:00:22"/>
    <s v="Headphones"/>
    <n v="2"/>
    <n v="450"/>
    <s v="North"/>
    <s v="C0306"/>
    <n v="900"/>
  </r>
  <r>
    <x v="10"/>
    <d v="2023-11-20T08:41:38"/>
    <s v="Keyboard"/>
    <n v="1"/>
    <n v="700"/>
    <s v="North"/>
    <s v="C0396"/>
    <n v="700"/>
  </r>
  <r>
    <x v="10"/>
    <d v="2023-11-20T20:22:54"/>
    <s v="Keyboard"/>
    <n v="2"/>
    <n v="3500"/>
    <s v="South"/>
    <s v="C0095"/>
    <n v="7000"/>
  </r>
  <r>
    <x v="10"/>
    <d v="2023-11-21T08:04:10"/>
    <s v="Smart Watch"/>
    <n v="5"/>
    <n v="3500"/>
    <s v="South"/>
    <s v="C0209"/>
    <n v="17500"/>
  </r>
  <r>
    <x v="10"/>
    <d v="2023-11-21T19:45:26"/>
    <s v="Keyboard"/>
    <n v="1"/>
    <n v="700"/>
    <s v="North"/>
    <s v="C0225"/>
    <n v="700"/>
  </r>
  <r>
    <x v="10"/>
    <d v="2023-11-22T07:26:42"/>
    <s v="Wireless Mouse"/>
    <n v="3"/>
    <n v="700"/>
    <s v="North"/>
    <s v="C0459"/>
    <n v="2100"/>
  </r>
  <r>
    <x v="10"/>
    <d v="2023-11-22T19:07:58"/>
    <s v="Headphones"/>
    <n v="2"/>
    <n v="450"/>
    <s v="South"/>
    <s v="C0348"/>
    <n v="900"/>
  </r>
  <r>
    <x v="10"/>
    <d v="2023-11-23T06:49:14"/>
    <s v="Keyboard"/>
    <n v="4"/>
    <n v="700"/>
    <s v="East"/>
    <s v="C0480"/>
    <n v="2800"/>
  </r>
  <r>
    <x v="10"/>
    <d v="2023-11-23T18:30:30"/>
    <s v="Smart Watch"/>
    <n v="6"/>
    <n v="450"/>
    <s v="West"/>
    <s v="C0321"/>
    <n v="2700"/>
  </r>
  <r>
    <x v="10"/>
    <d v="2023-11-24T06:11:46"/>
    <s v="Wireless Mouse"/>
    <n v="4"/>
    <n v="3500"/>
    <s v="West"/>
    <s v="C0047"/>
    <n v="14000"/>
  </r>
  <r>
    <x v="10"/>
    <d v="2023-11-24T17:53:02"/>
    <s v="Laptop Bag"/>
    <n v="6"/>
    <n v="700"/>
    <s v="North"/>
    <s v="C0476"/>
    <n v="4200"/>
  </r>
  <r>
    <x v="10"/>
    <d v="2023-11-25T05:34:18"/>
    <s v="Laptop Bag"/>
    <n v="5"/>
    <n v="1800"/>
    <s v="East"/>
    <s v="C0181"/>
    <n v="9000"/>
  </r>
  <r>
    <x v="10"/>
    <d v="2023-11-25T17:15:34"/>
    <s v="Wireless Mouse"/>
    <n v="4"/>
    <n v="1800"/>
    <s v="South"/>
    <s v="C0106"/>
    <n v="7200"/>
  </r>
  <r>
    <x v="10"/>
    <d v="2023-11-26T04:56:50"/>
    <s v="Smart Watch"/>
    <n v="2"/>
    <n v="3500"/>
    <s v="North"/>
    <s v="C0199"/>
    <n v="7000"/>
  </r>
  <r>
    <x v="10"/>
    <d v="2023-11-26T16:38:06"/>
    <s v="Wireless Mouse"/>
    <n v="2"/>
    <n v="450"/>
    <s v="East"/>
    <s v="C0386"/>
    <n v="900"/>
  </r>
  <r>
    <x v="10"/>
    <d v="2023-11-27T04:19:22"/>
    <s v="Headphones"/>
    <n v="4"/>
    <n v="1800"/>
    <s v="East"/>
    <s v="C0106"/>
    <n v="7200"/>
  </r>
  <r>
    <x v="10"/>
    <d v="2023-11-27T16:00:38"/>
    <s v="Headphones"/>
    <n v="2"/>
    <n v="450"/>
    <s v="East"/>
    <s v="C0280"/>
    <n v="900"/>
  </r>
  <r>
    <x v="10"/>
    <d v="2023-11-28T03:41:54"/>
    <s v="Laptop Bag"/>
    <n v="5"/>
    <n v="1800"/>
    <s v="South"/>
    <s v="C0260"/>
    <n v="9000"/>
  </r>
  <r>
    <x v="10"/>
    <d v="2023-11-28T15:23:11"/>
    <s v="Keyboard"/>
    <n v="1"/>
    <n v="1800"/>
    <s v="South"/>
    <s v="C0108"/>
    <n v="1800"/>
  </r>
  <r>
    <x v="10"/>
    <d v="2023-11-29T03:04:27"/>
    <s v="Smart Watch"/>
    <n v="5"/>
    <n v="450"/>
    <s v="West"/>
    <s v="C0019"/>
    <n v="2250"/>
  </r>
  <r>
    <x v="10"/>
    <d v="2023-11-29T14:45:43"/>
    <s v="Laptop Bag"/>
    <n v="6"/>
    <n v="1200"/>
    <s v="West"/>
    <s v="C0410"/>
    <n v="7200"/>
  </r>
  <r>
    <x v="10"/>
    <d v="2023-11-30T02:26:59"/>
    <s v="Keyboard"/>
    <n v="5"/>
    <n v="1800"/>
    <s v="East"/>
    <s v="C0459"/>
    <n v="9000"/>
  </r>
  <r>
    <x v="10"/>
    <d v="2023-11-30T14:08:15"/>
    <s v="Keyboard"/>
    <n v="6"/>
    <n v="700"/>
    <s v="East"/>
    <s v="C0296"/>
    <n v="4200"/>
  </r>
  <r>
    <x v="11"/>
    <d v="2023-12-01T01:49:31"/>
    <s v="Headphones"/>
    <n v="2"/>
    <n v="3500"/>
    <s v="South"/>
    <s v="C0306"/>
    <n v="7000"/>
  </r>
  <r>
    <x v="11"/>
    <d v="2023-12-01T13:30:47"/>
    <s v="Mobile Cover"/>
    <n v="1"/>
    <n v="1200"/>
    <s v="West"/>
    <s v="C0171"/>
    <n v="1200"/>
  </r>
  <r>
    <x v="11"/>
    <d v="2023-12-02T01:12:03"/>
    <s v="Mobile Cover"/>
    <n v="2"/>
    <n v="450"/>
    <s v="East"/>
    <s v="C0331"/>
    <n v="900"/>
  </r>
  <r>
    <x v="11"/>
    <d v="2023-12-02T12:53:19"/>
    <s v="Wireless Mouse"/>
    <n v="3"/>
    <n v="1200"/>
    <s v="West"/>
    <s v="C0493"/>
    <n v="3600"/>
  </r>
  <r>
    <x v="11"/>
    <d v="2023-12-03T00:34:35"/>
    <s v="Headphones"/>
    <n v="2"/>
    <n v="150"/>
    <s v="West"/>
    <s v="C0195"/>
    <n v="300"/>
  </r>
  <r>
    <x v="11"/>
    <d v="2023-12-03T12:15:51"/>
    <s v="Keyboard"/>
    <n v="6"/>
    <n v="150"/>
    <s v="East"/>
    <s v="C0012"/>
    <n v="900"/>
  </r>
  <r>
    <x v="11"/>
    <d v="2023-12-03T23:57:07"/>
    <s v="Smart Watch"/>
    <n v="2"/>
    <n v="1800"/>
    <s v="South"/>
    <s v="C0195"/>
    <n v="3600"/>
  </r>
  <r>
    <x v="11"/>
    <d v="2023-12-04T11:38:23"/>
    <s v="Mobile Cover"/>
    <n v="2"/>
    <n v="1800"/>
    <s v="East"/>
    <s v="C0490"/>
    <n v="3600"/>
  </r>
  <r>
    <x v="11"/>
    <d v="2023-12-04T23:19:39"/>
    <s v="Keyboard"/>
    <n v="1"/>
    <n v="700"/>
    <s v="East"/>
    <s v="C0283"/>
    <n v="700"/>
  </r>
  <r>
    <x v="11"/>
    <d v="2023-12-05T11:00:55"/>
    <s v="Mobile Cover"/>
    <n v="2"/>
    <n v="3500"/>
    <s v="West"/>
    <s v="C0369"/>
    <n v="7000"/>
  </r>
  <r>
    <x v="11"/>
    <d v="2023-12-05T22:42:11"/>
    <s v="Mobile Cover"/>
    <n v="1"/>
    <n v="1200"/>
    <s v="East"/>
    <s v="C0182"/>
    <n v="1200"/>
  </r>
  <r>
    <x v="11"/>
    <d v="2023-12-06T10:23:27"/>
    <s v="Mobile Cover"/>
    <n v="4"/>
    <n v="150"/>
    <s v="South"/>
    <s v="C0450"/>
    <n v="600"/>
  </r>
  <r>
    <x v="11"/>
    <d v="2023-12-06T22:04:43"/>
    <s v="Smart Watch"/>
    <n v="3"/>
    <n v="1800"/>
    <s v="East"/>
    <s v="C0305"/>
    <n v="5400"/>
  </r>
  <r>
    <x v="11"/>
    <d v="2023-12-07T09:45:59"/>
    <s v="Headphones"/>
    <n v="1"/>
    <n v="3500"/>
    <s v="South"/>
    <s v="C0144"/>
    <n v="3500"/>
  </r>
  <r>
    <x v="11"/>
    <d v="2023-12-07T21:27:15"/>
    <s v="Smart Watch"/>
    <n v="6"/>
    <n v="1200"/>
    <s v="South"/>
    <s v="C0386"/>
    <n v="7200"/>
  </r>
  <r>
    <x v="11"/>
    <d v="2023-12-08T09:08:32"/>
    <s v="Laptop Bag"/>
    <n v="4"/>
    <n v="1800"/>
    <s v="West"/>
    <s v="C0316"/>
    <n v="7200"/>
  </r>
  <r>
    <x v="11"/>
    <d v="2023-12-08T20:49:48"/>
    <s v="Keyboard"/>
    <n v="1"/>
    <n v="1800"/>
    <s v="North"/>
    <s v="C0182"/>
    <n v="1800"/>
  </r>
  <r>
    <x v="11"/>
    <d v="2023-12-09T08:31:04"/>
    <s v="Headphones"/>
    <n v="1"/>
    <n v="150"/>
    <s v="North"/>
    <s v="C0030"/>
    <n v="150"/>
  </r>
  <r>
    <x v="11"/>
    <d v="2023-12-09T20:12:20"/>
    <s v="Headphones"/>
    <n v="3"/>
    <n v="150"/>
    <s v="West"/>
    <s v="C0084"/>
    <n v="450"/>
  </r>
  <r>
    <x v="11"/>
    <d v="2023-12-10T07:53:36"/>
    <s v="Headphones"/>
    <n v="6"/>
    <n v="1800"/>
    <s v="East"/>
    <s v="C0166"/>
    <n v="10800"/>
  </r>
  <r>
    <x v="11"/>
    <d v="2023-12-10T19:34:52"/>
    <s v="Headphones"/>
    <n v="5"/>
    <n v="450"/>
    <s v="West"/>
    <s v="C0284"/>
    <n v="2250"/>
  </r>
  <r>
    <x v="11"/>
    <d v="2023-12-11T07:16:08"/>
    <s v="Smart Watch"/>
    <n v="5"/>
    <n v="1800"/>
    <s v="South"/>
    <s v="C0281"/>
    <n v="9000"/>
  </r>
  <r>
    <x v="11"/>
    <d v="2023-12-11T18:57:24"/>
    <s v="Headphones"/>
    <n v="1"/>
    <n v="3500"/>
    <s v="North"/>
    <s v="C0096"/>
    <n v="3500"/>
  </r>
  <r>
    <x v="11"/>
    <d v="2023-12-12T06:38:40"/>
    <s v="Wireless Mouse"/>
    <n v="2"/>
    <n v="1800"/>
    <s v="West"/>
    <s v="C0381"/>
    <n v="3600"/>
  </r>
  <r>
    <x v="11"/>
    <d v="2023-12-12T18:19:56"/>
    <s v="Keyboard"/>
    <n v="6"/>
    <n v="700"/>
    <s v="East"/>
    <s v="C0266"/>
    <n v="4200"/>
  </r>
  <r>
    <x v="11"/>
    <d v="2023-12-13T06:01:12"/>
    <s v="Headphones"/>
    <n v="4"/>
    <n v="700"/>
    <s v="West"/>
    <s v="C0444"/>
    <n v="2800"/>
  </r>
  <r>
    <x v="11"/>
    <d v="2023-12-13T17:42:28"/>
    <s v="Keyboard"/>
    <n v="2"/>
    <n v="700"/>
    <s v="North"/>
    <s v="C0298"/>
    <n v="1400"/>
  </r>
  <r>
    <x v="11"/>
    <d v="2023-12-14T05:23:44"/>
    <s v="Wireless Mouse"/>
    <n v="2"/>
    <n v="450"/>
    <s v="West"/>
    <s v="C0296"/>
    <n v="900"/>
  </r>
  <r>
    <x v="11"/>
    <d v="2023-12-14T17:05:00"/>
    <s v="Wireless Mouse"/>
    <n v="6"/>
    <n v="450"/>
    <s v="West"/>
    <s v="C0225"/>
    <n v="2700"/>
  </r>
  <r>
    <x v="11"/>
    <d v="2023-12-15T04:46:16"/>
    <s v="Keyboard"/>
    <n v="1"/>
    <n v="1800"/>
    <s v="North"/>
    <s v="C0333"/>
    <n v="1800"/>
  </r>
  <r>
    <x v="11"/>
    <d v="2023-12-15T16:27:32"/>
    <s v="Mobile Cover"/>
    <n v="1"/>
    <n v="700"/>
    <s v="South"/>
    <s v="C0361"/>
    <n v="700"/>
  </r>
  <r>
    <x v="11"/>
    <d v="2023-12-16T04:08:48"/>
    <s v="Laptop Bag"/>
    <n v="1"/>
    <n v="450"/>
    <s v="South"/>
    <s v="C0374"/>
    <n v="450"/>
  </r>
  <r>
    <x v="11"/>
    <d v="2023-12-16T15:50:04"/>
    <s v="Mobile Cover"/>
    <n v="1"/>
    <n v="150"/>
    <s v="North"/>
    <s v="C0042"/>
    <n v="150"/>
  </r>
  <r>
    <x v="11"/>
    <d v="2023-12-17T03:31:20"/>
    <s v="Mobile Cover"/>
    <n v="5"/>
    <n v="1800"/>
    <s v="West"/>
    <s v="C0303"/>
    <n v="9000"/>
  </r>
  <r>
    <x v="11"/>
    <d v="2023-12-17T15:12:37"/>
    <s v="Smart Watch"/>
    <n v="1"/>
    <n v="3500"/>
    <s v="North"/>
    <s v="C0421"/>
    <n v="3500"/>
  </r>
  <r>
    <x v="11"/>
    <d v="2023-12-18T02:53:53"/>
    <s v="Mobile Cover"/>
    <n v="5"/>
    <n v="1200"/>
    <s v="South"/>
    <s v="C0246"/>
    <n v="6000"/>
  </r>
  <r>
    <x v="11"/>
    <d v="2023-12-18T14:35:09"/>
    <s v="Headphones"/>
    <n v="5"/>
    <n v="1800"/>
    <s v="East"/>
    <s v="C0208"/>
    <n v="9000"/>
  </r>
  <r>
    <x v="11"/>
    <d v="2023-12-19T02:16:25"/>
    <s v="Smart Watch"/>
    <n v="1"/>
    <n v="1200"/>
    <s v="West"/>
    <s v="C0237"/>
    <n v="1200"/>
  </r>
  <r>
    <x v="11"/>
    <d v="2023-12-19T13:57:41"/>
    <s v="Smart Watch"/>
    <n v="3"/>
    <n v="700"/>
    <s v="South"/>
    <s v="C0022"/>
    <n v="2100"/>
  </r>
  <r>
    <x v="11"/>
    <d v="2023-12-20T01:38:57"/>
    <s v="Wireless Mouse"/>
    <n v="4"/>
    <n v="1200"/>
    <s v="West"/>
    <s v="C0185"/>
    <n v="4800"/>
  </r>
  <r>
    <x v="11"/>
    <d v="2023-12-20T13:20:13"/>
    <s v="Mobile Cover"/>
    <n v="2"/>
    <n v="700"/>
    <s v="North"/>
    <s v="C0468"/>
    <n v="1400"/>
  </r>
  <r>
    <x v="11"/>
    <d v="2023-12-21T01:01:29"/>
    <s v="Wireless Mouse"/>
    <n v="5"/>
    <n v="150"/>
    <s v="East"/>
    <s v="C0242"/>
    <n v="750"/>
  </r>
  <r>
    <x v="11"/>
    <d v="2023-12-21T12:42:45"/>
    <s v="Keyboard"/>
    <n v="6"/>
    <n v="1200"/>
    <s v="North"/>
    <s v="C0363"/>
    <n v="7200"/>
  </r>
  <r>
    <x v="11"/>
    <d v="2023-12-22T00:24:01"/>
    <s v="Laptop Bag"/>
    <n v="6"/>
    <n v="1800"/>
    <s v="East"/>
    <s v="C0283"/>
    <n v="10800"/>
  </r>
  <r>
    <x v="11"/>
    <d v="2023-12-22T12:05:17"/>
    <s v="Smart Watch"/>
    <n v="4"/>
    <n v="700"/>
    <s v="West"/>
    <s v="C0041"/>
    <n v="2800"/>
  </r>
  <r>
    <x v="11"/>
    <d v="2023-12-22T23:46:33"/>
    <s v="Keyboard"/>
    <n v="6"/>
    <n v="1800"/>
    <s v="West"/>
    <s v="C0336"/>
    <n v="10800"/>
  </r>
  <r>
    <x v="11"/>
    <d v="2023-12-23T11:27:49"/>
    <s v="Keyboard"/>
    <n v="3"/>
    <n v="450"/>
    <s v="North"/>
    <s v="C0162"/>
    <n v="1350"/>
  </r>
  <r>
    <x v="11"/>
    <d v="2023-12-23T23:09:05"/>
    <s v="Headphones"/>
    <n v="6"/>
    <n v="700"/>
    <s v="East"/>
    <s v="C0160"/>
    <n v="4200"/>
  </r>
  <r>
    <x v="11"/>
    <d v="2023-12-24T10:50:21"/>
    <s v="Laptop Bag"/>
    <n v="2"/>
    <n v="1200"/>
    <s v="East"/>
    <s v="C0474"/>
    <n v="2400"/>
  </r>
  <r>
    <x v="11"/>
    <d v="2023-12-24T22:31:37"/>
    <s v="Keyboard"/>
    <n v="2"/>
    <n v="700"/>
    <s v="West"/>
    <s v="C0089"/>
    <n v="1400"/>
  </r>
  <r>
    <x v="11"/>
    <d v="2023-12-25T10:12:53"/>
    <s v="Keyboard"/>
    <n v="5"/>
    <n v="1800"/>
    <s v="North"/>
    <s v="C0322"/>
    <n v="9000"/>
  </r>
  <r>
    <x v="11"/>
    <d v="2023-12-25T21:54:09"/>
    <s v="Laptop Bag"/>
    <n v="1"/>
    <n v="150"/>
    <s v="East"/>
    <s v="C0012"/>
    <n v="150"/>
  </r>
  <r>
    <x v="11"/>
    <d v="2023-12-26T09:35:25"/>
    <s v="Laptop Bag"/>
    <n v="3"/>
    <n v="700"/>
    <s v="West"/>
    <s v="C0424"/>
    <n v="2100"/>
  </r>
  <r>
    <x v="11"/>
    <d v="2023-12-26T21:16:41"/>
    <s v="Keyboard"/>
    <n v="5"/>
    <n v="1200"/>
    <s v="South"/>
    <s v="C0073"/>
    <n v="6000"/>
  </r>
  <r>
    <x v="11"/>
    <d v="2023-12-27T08:57:58"/>
    <s v="Laptop Bag"/>
    <n v="3"/>
    <n v="450"/>
    <s v="North"/>
    <s v="C0076"/>
    <n v="1350"/>
  </r>
  <r>
    <x v="11"/>
    <d v="2023-12-27T20:39:14"/>
    <s v="Keyboard"/>
    <n v="1"/>
    <n v="3500"/>
    <s v="South"/>
    <s v="C0346"/>
    <n v="3500"/>
  </r>
  <r>
    <x v="11"/>
    <d v="2023-12-28T08:20:30"/>
    <s v="Keyboard"/>
    <n v="6"/>
    <n v="150"/>
    <s v="North"/>
    <s v="C0201"/>
    <n v="900"/>
  </r>
  <r>
    <x v="11"/>
    <d v="2023-12-28T20:01:46"/>
    <s v="Headphones"/>
    <n v="6"/>
    <n v="450"/>
    <s v="West"/>
    <s v="C0010"/>
    <n v="2700"/>
  </r>
  <r>
    <x v="11"/>
    <d v="2023-12-29T07:43:02"/>
    <s v="Mobile Cover"/>
    <n v="1"/>
    <n v="700"/>
    <s v="East"/>
    <s v="C0352"/>
    <n v="700"/>
  </r>
  <r>
    <x v="11"/>
    <d v="2023-12-29T19:24:18"/>
    <s v="Keyboard"/>
    <n v="5"/>
    <n v="1800"/>
    <s v="East"/>
    <s v="C0226"/>
    <n v="9000"/>
  </r>
  <r>
    <x v="11"/>
    <d v="2023-12-30T07:05:34"/>
    <s v="Wireless Mouse"/>
    <n v="1"/>
    <n v="1800"/>
    <s v="East"/>
    <s v="C0176"/>
    <n v="1800"/>
  </r>
  <r>
    <x v="11"/>
    <d v="2023-12-30T18:46:50"/>
    <s v="Smart Watch"/>
    <n v="4"/>
    <n v="1200"/>
    <s v="North"/>
    <s v="C0276"/>
    <n v="4800"/>
  </r>
  <r>
    <x v="11"/>
    <d v="2023-12-31T06:28:06"/>
    <s v="Mobile Cover"/>
    <n v="2"/>
    <n v="1800"/>
    <s v="West"/>
    <s v="C0039"/>
    <n v="3600"/>
  </r>
  <r>
    <x v="11"/>
    <d v="2023-12-31T18:09:22"/>
    <s v="Mobile Cover"/>
    <n v="5"/>
    <n v="150"/>
    <s v="South"/>
    <s v="C0060"/>
    <n v="750"/>
  </r>
  <r>
    <x v="12"/>
    <d v="2024-01-01T05:50:38"/>
    <s v="Mobile Cover"/>
    <n v="3"/>
    <n v="1800"/>
    <s v="West"/>
    <s v="C0066"/>
    <n v="5400"/>
  </r>
  <r>
    <x v="12"/>
    <d v="2024-01-01T17:31:54"/>
    <s v="Headphones"/>
    <n v="4"/>
    <n v="1200"/>
    <s v="South"/>
    <s v="C0321"/>
    <n v="4800"/>
  </r>
  <r>
    <x v="12"/>
    <d v="2024-01-02T05:13:10"/>
    <s v="Keyboard"/>
    <n v="5"/>
    <n v="3500"/>
    <s v="North"/>
    <s v="C0435"/>
    <n v="17500"/>
  </r>
  <r>
    <x v="12"/>
    <d v="2024-01-02T16:54:26"/>
    <s v="Headphones"/>
    <n v="1"/>
    <n v="700"/>
    <s v="North"/>
    <s v="C0124"/>
    <n v="700"/>
  </r>
  <r>
    <x v="12"/>
    <d v="2024-01-03T04:35:42"/>
    <s v="Keyboard"/>
    <n v="1"/>
    <n v="700"/>
    <s v="South"/>
    <s v="C0164"/>
    <n v="700"/>
  </r>
  <r>
    <x v="12"/>
    <d v="2024-01-03T16:16:58"/>
    <s v="Headphones"/>
    <n v="1"/>
    <n v="1800"/>
    <s v="South"/>
    <s v="C0408"/>
    <n v="1800"/>
  </r>
  <r>
    <x v="12"/>
    <d v="2024-01-04T03:58:14"/>
    <s v="Headphones"/>
    <n v="1"/>
    <n v="450"/>
    <s v="South"/>
    <s v="C0411"/>
    <n v="450"/>
  </r>
  <r>
    <x v="12"/>
    <d v="2024-01-04T15:39:30"/>
    <s v="Smart Watch"/>
    <n v="3"/>
    <n v="700"/>
    <s v="West"/>
    <s v="C0386"/>
    <n v="2100"/>
  </r>
  <r>
    <x v="12"/>
    <d v="2024-01-05T03:20:46"/>
    <s v="Wireless Mouse"/>
    <n v="4"/>
    <n v="3500"/>
    <s v="South"/>
    <s v="C0159"/>
    <n v="14000"/>
  </r>
  <r>
    <x v="12"/>
    <d v="2024-01-05T15:02:02"/>
    <s v="Headphones"/>
    <n v="6"/>
    <n v="1800"/>
    <s v="North"/>
    <s v="C0057"/>
    <n v="10800"/>
  </r>
  <r>
    <x v="12"/>
    <d v="2024-01-06T02:43:19"/>
    <s v="Smart Watch"/>
    <n v="2"/>
    <n v="1200"/>
    <s v="North"/>
    <s v="C0078"/>
    <n v="2400"/>
  </r>
  <r>
    <x v="12"/>
    <d v="2024-01-06T14:24:35"/>
    <s v="Laptop Bag"/>
    <n v="3"/>
    <n v="3500"/>
    <s v="East"/>
    <s v="C0194"/>
    <n v="10500"/>
  </r>
  <r>
    <x v="12"/>
    <d v="2024-01-07T02:05:51"/>
    <s v="Wireless Mouse"/>
    <n v="3"/>
    <n v="1800"/>
    <s v="South"/>
    <s v="C0285"/>
    <n v="5400"/>
  </r>
  <r>
    <x v="12"/>
    <d v="2024-01-07T13:47:07"/>
    <s v="Headphones"/>
    <n v="6"/>
    <n v="3500"/>
    <s v="West"/>
    <s v="C0015"/>
    <n v="21000"/>
  </r>
  <r>
    <x v="12"/>
    <d v="2024-01-08T01:28:23"/>
    <s v="Mobile Cover"/>
    <n v="6"/>
    <n v="700"/>
    <s v="West"/>
    <s v="C0012"/>
    <n v="4200"/>
  </r>
  <r>
    <x v="12"/>
    <d v="2024-01-08T13:09:39"/>
    <s v="Laptop Bag"/>
    <n v="2"/>
    <n v="1200"/>
    <s v="West"/>
    <s v="C0101"/>
    <n v="2400"/>
  </r>
  <r>
    <x v="12"/>
    <d v="2024-01-09T00:50:55"/>
    <s v="Laptop Bag"/>
    <n v="2"/>
    <n v="1800"/>
    <s v="East"/>
    <s v="C0156"/>
    <n v="3600"/>
  </r>
  <r>
    <x v="12"/>
    <d v="2024-01-09T12:32:11"/>
    <s v="Smart Watch"/>
    <n v="6"/>
    <n v="150"/>
    <s v="North"/>
    <s v="C0340"/>
    <n v="900"/>
  </r>
  <r>
    <x v="12"/>
    <d v="2024-01-10T00:13:27"/>
    <s v="Laptop Bag"/>
    <n v="1"/>
    <n v="1200"/>
    <s v="West"/>
    <s v="C0125"/>
    <n v="1200"/>
  </r>
  <r>
    <x v="12"/>
    <d v="2024-01-10T11:54:43"/>
    <s v="Wireless Mouse"/>
    <n v="3"/>
    <n v="150"/>
    <s v="North"/>
    <s v="C0359"/>
    <n v="450"/>
  </r>
  <r>
    <x v="12"/>
    <d v="2024-01-10T23:35:59"/>
    <s v="Headphones"/>
    <n v="5"/>
    <n v="3500"/>
    <s v="East"/>
    <s v="C0280"/>
    <n v="17500"/>
  </r>
  <r>
    <x v="12"/>
    <d v="2024-01-11T11:17:15"/>
    <s v="Headphones"/>
    <n v="2"/>
    <n v="450"/>
    <s v="South"/>
    <s v="C0405"/>
    <n v="900"/>
  </r>
  <r>
    <x v="12"/>
    <d v="2024-01-11T22:58:31"/>
    <s v="Mobile Cover"/>
    <n v="2"/>
    <n v="1200"/>
    <s v="South"/>
    <s v="C0394"/>
    <n v="2400"/>
  </r>
  <r>
    <x v="12"/>
    <d v="2024-01-12T10:39:47"/>
    <s v="Smart Watch"/>
    <n v="6"/>
    <n v="3500"/>
    <s v="South"/>
    <s v="C0110"/>
    <n v="21000"/>
  </r>
  <r>
    <x v="12"/>
    <d v="2024-01-12T22:21:03"/>
    <s v="Mobile Cover"/>
    <n v="4"/>
    <n v="150"/>
    <s v="West"/>
    <s v="C0334"/>
    <n v="600"/>
  </r>
  <r>
    <x v="12"/>
    <d v="2024-01-13T10:02:19"/>
    <s v="Laptop Bag"/>
    <n v="5"/>
    <n v="700"/>
    <s v="South"/>
    <s v="C0357"/>
    <n v="3500"/>
  </r>
  <r>
    <x v="12"/>
    <d v="2024-01-13T21:43:35"/>
    <s v="Mobile Cover"/>
    <n v="5"/>
    <n v="700"/>
    <s v="West"/>
    <s v="C0146"/>
    <n v="3500"/>
  </r>
  <r>
    <x v="12"/>
    <d v="2024-01-14T09:24:51"/>
    <s v="Wireless Mouse"/>
    <n v="2"/>
    <n v="450"/>
    <s v="East"/>
    <s v="C0216"/>
    <n v="900"/>
  </r>
  <r>
    <x v="12"/>
    <d v="2024-01-14T21:06:07"/>
    <s v="Headphones"/>
    <n v="1"/>
    <n v="1200"/>
    <s v="East"/>
    <s v="C0398"/>
    <n v="1200"/>
  </r>
  <r>
    <x v="12"/>
    <d v="2024-01-15T08:47:23"/>
    <s v="Laptop Bag"/>
    <n v="4"/>
    <n v="1200"/>
    <s v="West"/>
    <s v="C0162"/>
    <n v="4800"/>
  </r>
  <r>
    <x v="12"/>
    <d v="2024-01-15T20:28:40"/>
    <s v="Mobile Cover"/>
    <n v="5"/>
    <n v="1200"/>
    <s v="North"/>
    <s v="C0128"/>
    <n v="6000"/>
  </r>
  <r>
    <x v="12"/>
    <d v="2024-01-16T08:09:56"/>
    <s v="Smart Watch"/>
    <n v="2"/>
    <n v="3500"/>
    <s v="South"/>
    <s v="C0314"/>
    <n v="7000"/>
  </r>
  <r>
    <x v="12"/>
    <d v="2024-01-16T19:51:12"/>
    <s v="Wireless Mouse"/>
    <n v="5"/>
    <n v="450"/>
    <s v="South"/>
    <s v="C0332"/>
    <n v="2250"/>
  </r>
  <r>
    <x v="12"/>
    <d v="2024-01-17T07:32:28"/>
    <s v="Wireless Mouse"/>
    <n v="4"/>
    <n v="1200"/>
    <s v="South"/>
    <s v="C0150"/>
    <n v="4800"/>
  </r>
  <r>
    <x v="12"/>
    <d v="2024-01-17T19:13:44"/>
    <s v="Mobile Cover"/>
    <n v="4"/>
    <n v="3500"/>
    <s v="West"/>
    <s v="C0454"/>
    <n v="14000"/>
  </r>
  <r>
    <x v="12"/>
    <d v="2024-01-18T06:55:00"/>
    <s v="Headphones"/>
    <n v="3"/>
    <n v="700"/>
    <s v="East"/>
    <s v="C0036"/>
    <n v="2100"/>
  </r>
  <r>
    <x v="12"/>
    <d v="2024-01-18T18:36:16"/>
    <s v="Mobile Cover"/>
    <n v="6"/>
    <n v="150"/>
    <s v="South"/>
    <s v="C0173"/>
    <n v="900"/>
  </r>
  <r>
    <x v="12"/>
    <d v="2024-01-19T06:17:32"/>
    <s v="Laptop Bag"/>
    <n v="6"/>
    <n v="3500"/>
    <s v="East"/>
    <s v="C0420"/>
    <n v="21000"/>
  </r>
  <r>
    <x v="12"/>
    <d v="2024-01-19T17:58:48"/>
    <s v="Mobile Cover"/>
    <n v="2"/>
    <n v="700"/>
    <s v="South"/>
    <s v="C0022"/>
    <n v="1400"/>
  </r>
  <r>
    <x v="12"/>
    <d v="2024-01-20T05:40:04"/>
    <s v="Wireless Mouse"/>
    <n v="4"/>
    <n v="700"/>
    <s v="South"/>
    <s v="C0206"/>
    <n v="2800"/>
  </r>
  <r>
    <x v="12"/>
    <d v="2024-01-20T17:21:20"/>
    <s v="Mobile Cover"/>
    <n v="3"/>
    <n v="150"/>
    <s v="West"/>
    <s v="C0127"/>
    <n v="450"/>
  </r>
  <r>
    <x v="12"/>
    <d v="2024-01-21T05:02:36"/>
    <s v="Headphones"/>
    <n v="3"/>
    <n v="700"/>
    <s v="North"/>
    <s v="C0336"/>
    <n v="2100"/>
  </r>
  <r>
    <x v="12"/>
    <d v="2024-01-21T16:43:52"/>
    <s v="Smart Watch"/>
    <n v="5"/>
    <n v="450"/>
    <s v="West"/>
    <s v="C0445"/>
    <n v="2250"/>
  </r>
  <r>
    <x v="12"/>
    <d v="2024-01-22T04:25:08"/>
    <s v="Keyboard"/>
    <n v="5"/>
    <n v="150"/>
    <s v="South"/>
    <s v="C0356"/>
    <n v="750"/>
  </r>
  <r>
    <x v="12"/>
    <d v="2024-01-22T16:06:24"/>
    <s v="Mobile Cover"/>
    <n v="3"/>
    <n v="700"/>
    <s v="South"/>
    <s v="C0440"/>
    <n v="2100"/>
  </r>
  <r>
    <x v="12"/>
    <d v="2024-01-23T03:47:40"/>
    <s v="Headphones"/>
    <n v="5"/>
    <n v="1800"/>
    <s v="North"/>
    <s v="C0217"/>
    <n v="9000"/>
  </r>
  <r>
    <x v="12"/>
    <d v="2024-01-23T15:28:56"/>
    <s v="Headphones"/>
    <n v="4"/>
    <n v="3500"/>
    <s v="East"/>
    <s v="C0096"/>
    <n v="14000"/>
  </r>
  <r>
    <x v="12"/>
    <d v="2024-01-24T03:10:12"/>
    <s v="Smart Watch"/>
    <n v="1"/>
    <n v="700"/>
    <s v="East"/>
    <s v="C0417"/>
    <n v="700"/>
  </r>
  <r>
    <x v="12"/>
    <d v="2024-01-24T14:51:28"/>
    <s v="Wireless Mouse"/>
    <n v="4"/>
    <n v="450"/>
    <s v="South"/>
    <s v="C0429"/>
    <n v="1800"/>
  </r>
  <r>
    <x v="12"/>
    <d v="2024-01-25T02:32:45"/>
    <s v="Headphones"/>
    <n v="3"/>
    <n v="1200"/>
    <s v="East"/>
    <s v="C0164"/>
    <n v="3600"/>
  </r>
  <r>
    <x v="12"/>
    <d v="2024-01-25T14:14:01"/>
    <s v="Headphones"/>
    <n v="3"/>
    <n v="700"/>
    <s v="South"/>
    <s v="C0148"/>
    <n v="2100"/>
  </r>
  <r>
    <x v="12"/>
    <d v="2024-01-26T01:55:17"/>
    <s v="Headphones"/>
    <n v="4"/>
    <n v="1200"/>
    <s v="North"/>
    <s v="C0018"/>
    <n v="4800"/>
  </r>
  <r>
    <x v="12"/>
    <d v="2024-01-26T13:36:33"/>
    <s v="Headphones"/>
    <n v="5"/>
    <n v="1800"/>
    <s v="North"/>
    <s v="C0294"/>
    <n v="9000"/>
  </r>
  <r>
    <x v="12"/>
    <d v="2024-01-27T01:17:49"/>
    <s v="Laptop Bag"/>
    <n v="5"/>
    <n v="700"/>
    <s v="South"/>
    <s v="C0195"/>
    <n v="3500"/>
  </r>
  <r>
    <x v="12"/>
    <d v="2024-01-27T12:59:05"/>
    <s v="Laptop Bag"/>
    <n v="6"/>
    <n v="150"/>
    <s v="North"/>
    <s v="C0151"/>
    <n v="900"/>
  </r>
  <r>
    <x v="12"/>
    <d v="2024-01-28T00:40:21"/>
    <s v="Wireless Mouse"/>
    <n v="3"/>
    <n v="1200"/>
    <s v="West"/>
    <s v="C0480"/>
    <n v="3600"/>
  </r>
  <r>
    <x v="12"/>
    <d v="2024-01-28T12:21:37"/>
    <s v="Mobile Cover"/>
    <n v="2"/>
    <n v="1800"/>
    <s v="West"/>
    <s v="C0365"/>
    <n v="3600"/>
  </r>
  <r>
    <x v="12"/>
    <d v="2024-01-29T00:02:53"/>
    <s v="Headphones"/>
    <n v="6"/>
    <n v="150"/>
    <s v="North"/>
    <s v="C0123"/>
    <n v="900"/>
  </r>
  <r>
    <x v="12"/>
    <d v="2024-01-29T11:44:09"/>
    <s v="Smart Watch"/>
    <n v="5"/>
    <n v="150"/>
    <s v="South"/>
    <s v="C0400"/>
    <n v="750"/>
  </r>
  <r>
    <x v="12"/>
    <d v="2024-01-29T23:25:25"/>
    <s v="Mobile Cover"/>
    <n v="4"/>
    <n v="150"/>
    <s v="South"/>
    <s v="C0187"/>
    <n v="600"/>
  </r>
  <r>
    <x v="12"/>
    <d v="2024-01-30T11:06:41"/>
    <s v="Smart Watch"/>
    <n v="5"/>
    <n v="150"/>
    <s v="North"/>
    <s v="C0453"/>
    <n v="750"/>
  </r>
  <r>
    <x v="12"/>
    <d v="2024-01-30T22:47:57"/>
    <s v="Mobile Cover"/>
    <n v="4"/>
    <n v="700"/>
    <s v="East"/>
    <s v="C0452"/>
    <n v="2800"/>
  </r>
  <r>
    <x v="12"/>
    <d v="2024-01-31T10:29:13"/>
    <s v="Wireless Mouse"/>
    <n v="6"/>
    <n v="3500"/>
    <s v="West"/>
    <s v="C0149"/>
    <n v="21000"/>
  </r>
  <r>
    <x v="12"/>
    <d v="2024-01-31T22:10:29"/>
    <s v="Headphones"/>
    <n v="3"/>
    <n v="700"/>
    <s v="East"/>
    <s v="C0104"/>
    <n v="2100"/>
  </r>
  <r>
    <x v="13"/>
    <d v="2024-02-01T09:51:45"/>
    <s v="Headphones"/>
    <n v="5"/>
    <n v="700"/>
    <s v="South"/>
    <s v="C0243"/>
    <n v="3500"/>
  </r>
  <r>
    <x v="13"/>
    <d v="2024-02-01T21:33:01"/>
    <s v="Keyboard"/>
    <n v="4"/>
    <n v="1800"/>
    <s v="South"/>
    <s v="C0462"/>
    <n v="7200"/>
  </r>
  <r>
    <x v="13"/>
    <d v="2024-02-02T09:14:17"/>
    <s v="Smart Watch"/>
    <n v="3"/>
    <n v="1800"/>
    <s v="East"/>
    <s v="C0231"/>
    <n v="5400"/>
  </r>
  <r>
    <x v="13"/>
    <d v="2024-02-02T20:55:33"/>
    <s v="Mobile Cover"/>
    <n v="2"/>
    <n v="3500"/>
    <s v="North"/>
    <s v="C0479"/>
    <n v="7000"/>
  </r>
  <r>
    <x v="13"/>
    <d v="2024-02-03T08:36:49"/>
    <s v="Mobile Cover"/>
    <n v="4"/>
    <n v="1800"/>
    <s v="East"/>
    <s v="C0206"/>
    <n v="7200"/>
  </r>
  <r>
    <x v="13"/>
    <d v="2024-02-03T20:18:06"/>
    <s v="Laptop Bag"/>
    <n v="6"/>
    <n v="450"/>
    <s v="East"/>
    <s v="C0198"/>
    <n v="2700"/>
  </r>
  <r>
    <x v="13"/>
    <d v="2024-02-04T07:59:22"/>
    <s v="Keyboard"/>
    <n v="2"/>
    <n v="3500"/>
    <s v="West"/>
    <s v="C0396"/>
    <n v="7000"/>
  </r>
  <r>
    <x v="13"/>
    <d v="2024-02-04T19:40:38"/>
    <s v="Laptop Bag"/>
    <n v="2"/>
    <n v="1800"/>
    <s v="West"/>
    <s v="C0400"/>
    <n v="3600"/>
  </r>
  <r>
    <x v="13"/>
    <d v="2024-02-05T07:21:54"/>
    <s v="Laptop Bag"/>
    <n v="1"/>
    <n v="3500"/>
    <s v="East"/>
    <s v="C0337"/>
    <n v="3500"/>
  </r>
  <r>
    <x v="13"/>
    <d v="2024-02-05T19:03:10"/>
    <s v="Laptop Bag"/>
    <n v="5"/>
    <n v="700"/>
    <s v="East"/>
    <s v="C0493"/>
    <n v="3500"/>
  </r>
  <r>
    <x v="13"/>
    <d v="2024-02-06T06:44:26"/>
    <s v="Smart Watch"/>
    <n v="4"/>
    <n v="700"/>
    <s v="South"/>
    <s v="C0087"/>
    <n v="2800"/>
  </r>
  <r>
    <x v="13"/>
    <d v="2024-02-06T18:25:42"/>
    <s v="Smart Watch"/>
    <n v="2"/>
    <n v="3500"/>
    <s v="West"/>
    <s v="C0142"/>
    <n v="7000"/>
  </r>
  <r>
    <x v="13"/>
    <d v="2024-02-07T06:06:58"/>
    <s v="Wireless Mouse"/>
    <n v="1"/>
    <n v="450"/>
    <s v="West"/>
    <s v="C0317"/>
    <n v="450"/>
  </r>
  <r>
    <x v="13"/>
    <d v="2024-02-07T17:48:14"/>
    <s v="Wireless Mouse"/>
    <n v="6"/>
    <n v="450"/>
    <s v="South"/>
    <s v="C0199"/>
    <n v="2700"/>
  </r>
  <r>
    <x v="13"/>
    <d v="2024-02-08T05:29:30"/>
    <s v="Laptop Bag"/>
    <n v="3"/>
    <n v="3500"/>
    <s v="North"/>
    <s v="C0046"/>
    <n v="10500"/>
  </r>
  <r>
    <x v="13"/>
    <d v="2024-02-08T17:10:46"/>
    <s v="Keyboard"/>
    <n v="4"/>
    <n v="1800"/>
    <s v="West"/>
    <s v="C0288"/>
    <n v="7200"/>
  </r>
  <r>
    <x v="13"/>
    <d v="2024-02-09T04:52:02"/>
    <s v="Mobile Cover"/>
    <n v="2"/>
    <n v="1200"/>
    <s v="West"/>
    <s v="C0015"/>
    <n v="2400"/>
  </r>
  <r>
    <x v="13"/>
    <d v="2024-02-09T16:33:18"/>
    <s v="Smart Watch"/>
    <n v="5"/>
    <n v="450"/>
    <s v="North"/>
    <s v="C0044"/>
    <n v="2250"/>
  </r>
  <r>
    <x v="13"/>
    <d v="2024-02-10T04:14:34"/>
    <s v="Keyboard"/>
    <n v="1"/>
    <n v="150"/>
    <s v="West"/>
    <s v="C0401"/>
    <n v="150"/>
  </r>
  <r>
    <x v="13"/>
    <d v="2024-02-10T15:55:50"/>
    <s v="Headphones"/>
    <n v="2"/>
    <n v="700"/>
    <s v="West"/>
    <s v="C0169"/>
    <n v="1400"/>
  </r>
  <r>
    <x v="13"/>
    <d v="2024-02-11T03:37:06"/>
    <s v="Smart Watch"/>
    <n v="5"/>
    <n v="3500"/>
    <s v="North"/>
    <s v="C0310"/>
    <n v="17500"/>
  </r>
  <r>
    <x v="13"/>
    <d v="2024-02-11T15:18:22"/>
    <s v="Smart Watch"/>
    <n v="2"/>
    <n v="150"/>
    <s v="North"/>
    <s v="C0495"/>
    <n v="300"/>
  </r>
  <r>
    <x v="13"/>
    <d v="2024-02-12T02:59:38"/>
    <s v="Wireless Mouse"/>
    <n v="4"/>
    <n v="3500"/>
    <s v="East"/>
    <s v="C0044"/>
    <n v="14000"/>
  </r>
  <r>
    <x v="13"/>
    <d v="2024-02-12T14:40:54"/>
    <s v="Mobile Cover"/>
    <n v="4"/>
    <n v="700"/>
    <s v="South"/>
    <s v="C0098"/>
    <n v="2800"/>
  </r>
  <r>
    <x v="13"/>
    <d v="2024-02-13T02:22:10"/>
    <s v="Mobile Cover"/>
    <n v="4"/>
    <n v="700"/>
    <s v="South"/>
    <s v="C0261"/>
    <n v="2800"/>
  </r>
  <r>
    <x v="13"/>
    <d v="2024-02-13T14:03:27"/>
    <s v="Headphones"/>
    <n v="6"/>
    <n v="450"/>
    <s v="North"/>
    <s v="C0109"/>
    <n v="2700"/>
  </r>
  <r>
    <x v="13"/>
    <d v="2024-02-14T01:44:43"/>
    <s v="Headphones"/>
    <n v="6"/>
    <n v="450"/>
    <s v="North"/>
    <s v="C0283"/>
    <n v="2700"/>
  </r>
  <r>
    <x v="13"/>
    <d v="2024-02-14T13:25:59"/>
    <s v="Smart Watch"/>
    <n v="1"/>
    <n v="150"/>
    <s v="West"/>
    <s v="C0372"/>
    <n v="150"/>
  </r>
  <r>
    <x v="13"/>
    <d v="2024-02-15T01:07:15"/>
    <s v="Laptop Bag"/>
    <n v="4"/>
    <n v="3500"/>
    <s v="East"/>
    <s v="C0343"/>
    <n v="14000"/>
  </r>
  <r>
    <x v="13"/>
    <d v="2024-02-15T12:48:31"/>
    <s v="Wireless Mouse"/>
    <n v="5"/>
    <n v="700"/>
    <s v="East"/>
    <s v="C0104"/>
    <n v="3500"/>
  </r>
  <r>
    <x v="13"/>
    <d v="2024-02-16T00:29:47"/>
    <s v="Wireless Mouse"/>
    <n v="2"/>
    <n v="150"/>
    <s v="North"/>
    <s v="C0256"/>
    <n v="300"/>
  </r>
  <r>
    <x v="13"/>
    <d v="2024-02-16T12:11:03"/>
    <s v="Smart Watch"/>
    <n v="3"/>
    <n v="1200"/>
    <s v="West"/>
    <s v="C0379"/>
    <n v="3600"/>
  </r>
  <r>
    <x v="13"/>
    <d v="2024-02-16T23:52:19"/>
    <s v="Keyboard"/>
    <n v="5"/>
    <n v="150"/>
    <s v="West"/>
    <s v="C0206"/>
    <n v="750"/>
  </r>
  <r>
    <x v="13"/>
    <d v="2024-02-17T11:33:35"/>
    <s v="Laptop Bag"/>
    <n v="6"/>
    <n v="1800"/>
    <s v="South"/>
    <s v="C0335"/>
    <n v="10800"/>
  </r>
  <r>
    <x v="13"/>
    <d v="2024-02-17T23:14:51"/>
    <s v="Smart Watch"/>
    <n v="6"/>
    <n v="150"/>
    <s v="South"/>
    <s v="C0043"/>
    <n v="900"/>
  </r>
  <r>
    <x v="13"/>
    <d v="2024-02-18T10:56:07"/>
    <s v="Laptop Bag"/>
    <n v="5"/>
    <n v="1800"/>
    <s v="West"/>
    <s v="C0353"/>
    <n v="9000"/>
  </r>
  <r>
    <x v="13"/>
    <d v="2024-02-18T22:37:23"/>
    <s v="Laptop Bag"/>
    <n v="6"/>
    <n v="1800"/>
    <s v="South"/>
    <s v="C0245"/>
    <n v="10800"/>
  </r>
  <r>
    <x v="13"/>
    <d v="2024-02-19T10:18:39"/>
    <s v="Laptop Bag"/>
    <n v="4"/>
    <n v="1800"/>
    <s v="North"/>
    <s v="C0287"/>
    <n v="7200"/>
  </r>
  <r>
    <x v="13"/>
    <d v="2024-02-19T21:59:55"/>
    <s v="Smart Watch"/>
    <n v="1"/>
    <n v="1200"/>
    <s v="West"/>
    <s v="C0355"/>
    <n v="1200"/>
  </r>
  <r>
    <x v="13"/>
    <d v="2024-02-20T09:41:11"/>
    <s v="Wireless Mouse"/>
    <n v="2"/>
    <n v="150"/>
    <s v="South"/>
    <s v="C0273"/>
    <n v="300"/>
  </r>
  <r>
    <x v="13"/>
    <d v="2024-02-20T21:22:27"/>
    <s v="Wireless Mouse"/>
    <n v="1"/>
    <n v="150"/>
    <s v="East"/>
    <s v="C0476"/>
    <n v="150"/>
  </r>
  <r>
    <x v="13"/>
    <d v="2024-02-21T09:03:43"/>
    <s v="Laptop Bag"/>
    <n v="2"/>
    <n v="1200"/>
    <s v="West"/>
    <s v="C0083"/>
    <n v="2400"/>
  </r>
  <r>
    <x v="13"/>
    <d v="2024-02-21T20:44:59"/>
    <s v="Keyboard"/>
    <n v="2"/>
    <n v="700"/>
    <s v="West"/>
    <s v="C0110"/>
    <n v="1400"/>
  </r>
  <r>
    <x v="13"/>
    <d v="2024-02-22T08:26:15"/>
    <s v="Mobile Cover"/>
    <n v="1"/>
    <n v="450"/>
    <s v="East"/>
    <s v="C0438"/>
    <n v="450"/>
  </r>
  <r>
    <x v="13"/>
    <d v="2024-02-22T20:07:32"/>
    <s v="Smart Watch"/>
    <n v="5"/>
    <n v="150"/>
    <s v="North"/>
    <s v="C0190"/>
    <n v="750"/>
  </r>
  <r>
    <x v="13"/>
    <d v="2024-02-23T07:48:48"/>
    <s v="Mobile Cover"/>
    <n v="2"/>
    <n v="450"/>
    <s v="East"/>
    <s v="C0471"/>
    <n v="900"/>
  </r>
  <r>
    <x v="13"/>
    <d v="2024-02-23T19:30:04"/>
    <s v="Keyboard"/>
    <n v="1"/>
    <n v="3500"/>
    <s v="West"/>
    <s v="C0288"/>
    <n v="3500"/>
  </r>
  <r>
    <x v="13"/>
    <d v="2024-02-24T07:11:20"/>
    <s v="Smart Watch"/>
    <n v="2"/>
    <n v="3500"/>
    <s v="North"/>
    <s v="C0424"/>
    <n v="7000"/>
  </r>
  <r>
    <x v="13"/>
    <d v="2024-02-24T18:52:36"/>
    <s v="Laptop Bag"/>
    <n v="3"/>
    <n v="1200"/>
    <s v="South"/>
    <s v="C0397"/>
    <n v="3600"/>
  </r>
  <r>
    <x v="13"/>
    <d v="2024-02-25T06:33:52"/>
    <s v="Wireless Mouse"/>
    <n v="5"/>
    <n v="3500"/>
    <s v="South"/>
    <s v="C0251"/>
    <n v="17500"/>
  </r>
  <r>
    <x v="13"/>
    <d v="2024-02-25T18:15:08"/>
    <s v="Mobile Cover"/>
    <n v="4"/>
    <n v="3500"/>
    <s v="South"/>
    <s v="C0212"/>
    <n v="14000"/>
  </r>
  <r>
    <x v="13"/>
    <d v="2024-02-26T05:56:24"/>
    <s v="Headphones"/>
    <n v="2"/>
    <n v="700"/>
    <s v="West"/>
    <s v="C0291"/>
    <n v="1400"/>
  </r>
  <r>
    <x v="13"/>
    <d v="2024-02-26T17:37:40"/>
    <s v="Headphones"/>
    <n v="3"/>
    <n v="700"/>
    <s v="East"/>
    <s v="C0133"/>
    <n v="2100"/>
  </r>
  <r>
    <x v="13"/>
    <d v="2024-02-27T05:18:56"/>
    <s v="Keyboard"/>
    <n v="4"/>
    <n v="700"/>
    <s v="North"/>
    <s v="C0201"/>
    <n v="2800"/>
  </r>
  <r>
    <x v="13"/>
    <d v="2024-02-27T17:00:12"/>
    <s v="Laptop Bag"/>
    <n v="4"/>
    <n v="3500"/>
    <s v="South"/>
    <s v="C0285"/>
    <n v="14000"/>
  </r>
  <r>
    <x v="13"/>
    <d v="2024-02-28T04:41:28"/>
    <s v="Mobile Cover"/>
    <n v="2"/>
    <n v="1200"/>
    <s v="North"/>
    <s v="C0326"/>
    <n v="2400"/>
  </r>
  <r>
    <x v="13"/>
    <d v="2024-02-28T16:22:44"/>
    <s v="Laptop Bag"/>
    <n v="1"/>
    <n v="1800"/>
    <s v="West"/>
    <s v="C0409"/>
    <n v="1800"/>
  </r>
  <r>
    <x v="13"/>
    <d v="2024-02-29T04:04:00"/>
    <s v="Mobile Cover"/>
    <n v="2"/>
    <n v="1800"/>
    <s v="South"/>
    <s v="C0095"/>
    <n v="3600"/>
  </r>
  <r>
    <x v="13"/>
    <d v="2024-02-29T15:45:16"/>
    <s v="Keyboard"/>
    <n v="3"/>
    <n v="450"/>
    <s v="West"/>
    <s v="C0278"/>
    <n v="1350"/>
  </r>
  <r>
    <x v="14"/>
    <d v="2024-03-01T03:26:32"/>
    <s v="Keyboard"/>
    <n v="4"/>
    <n v="1800"/>
    <s v="East"/>
    <s v="C0450"/>
    <n v="7200"/>
  </r>
  <r>
    <x v="14"/>
    <d v="2024-03-01T15:07:48"/>
    <s v="Headphones"/>
    <n v="2"/>
    <n v="1800"/>
    <s v="West"/>
    <s v="C0429"/>
    <n v="3600"/>
  </r>
  <r>
    <x v="14"/>
    <d v="2024-03-02T02:49:04"/>
    <s v="Laptop Bag"/>
    <n v="1"/>
    <n v="700"/>
    <s v="West"/>
    <s v="C0325"/>
    <n v="700"/>
  </r>
  <r>
    <x v="14"/>
    <d v="2024-03-02T14:30:20"/>
    <s v="Smart Watch"/>
    <n v="2"/>
    <n v="700"/>
    <s v="East"/>
    <s v="C0219"/>
    <n v="1400"/>
  </r>
  <r>
    <x v="14"/>
    <d v="2024-03-03T02:11:36"/>
    <s v="Headphones"/>
    <n v="5"/>
    <n v="3500"/>
    <s v="North"/>
    <s v="C0089"/>
    <n v="17500"/>
  </r>
  <r>
    <x v="14"/>
    <d v="2024-03-03T13:52:53"/>
    <s v="Laptop Bag"/>
    <n v="1"/>
    <n v="450"/>
    <s v="East"/>
    <s v="C0072"/>
    <n v="450"/>
  </r>
  <r>
    <x v="14"/>
    <d v="2024-03-04T01:34:09"/>
    <s v="Headphones"/>
    <n v="3"/>
    <n v="150"/>
    <s v="East"/>
    <s v="C0247"/>
    <n v="450"/>
  </r>
  <r>
    <x v="14"/>
    <d v="2024-03-04T13:15:25"/>
    <s v="Smart Watch"/>
    <n v="4"/>
    <n v="450"/>
    <s v="West"/>
    <s v="C0129"/>
    <n v="1800"/>
  </r>
  <r>
    <x v="14"/>
    <d v="2024-03-05T00:56:41"/>
    <s v="Wireless Mouse"/>
    <n v="2"/>
    <n v="450"/>
    <s v="North"/>
    <s v="C0212"/>
    <n v="900"/>
  </r>
  <r>
    <x v="14"/>
    <d v="2024-03-05T12:37:57"/>
    <s v="Wireless Mouse"/>
    <n v="1"/>
    <n v="1200"/>
    <s v="South"/>
    <s v="C0428"/>
    <n v="1200"/>
  </r>
  <r>
    <x v="14"/>
    <d v="2024-03-06T00:19:13"/>
    <s v="Wireless Mouse"/>
    <n v="5"/>
    <n v="3500"/>
    <s v="East"/>
    <s v="C0343"/>
    <n v="17500"/>
  </r>
  <r>
    <x v="14"/>
    <d v="2024-03-06T12:00:29"/>
    <s v="Wireless Mouse"/>
    <n v="1"/>
    <n v="1200"/>
    <s v="North"/>
    <s v="C0096"/>
    <n v="1200"/>
  </r>
  <r>
    <x v="14"/>
    <d v="2024-03-06T23:41:45"/>
    <s v="Mobile Cover"/>
    <n v="6"/>
    <n v="450"/>
    <s v="East"/>
    <s v="C0075"/>
    <n v="2700"/>
  </r>
  <r>
    <x v="14"/>
    <d v="2024-03-07T11:23:01"/>
    <s v="Wireless Mouse"/>
    <n v="5"/>
    <n v="450"/>
    <s v="East"/>
    <s v="C0423"/>
    <n v="2250"/>
  </r>
  <r>
    <x v="14"/>
    <d v="2024-03-07T23:04:17"/>
    <s v="Smart Watch"/>
    <n v="3"/>
    <n v="450"/>
    <s v="East"/>
    <s v="C0495"/>
    <n v="1350"/>
  </r>
  <r>
    <x v="14"/>
    <d v="2024-03-08T10:45:33"/>
    <s v="Keyboard"/>
    <n v="4"/>
    <n v="1800"/>
    <s v="East"/>
    <s v="C0054"/>
    <n v="7200"/>
  </r>
  <r>
    <x v="14"/>
    <d v="2024-03-08T22:26:49"/>
    <s v="Keyboard"/>
    <n v="3"/>
    <n v="1200"/>
    <s v="West"/>
    <s v="C0344"/>
    <n v="3600"/>
  </r>
  <r>
    <x v="14"/>
    <d v="2024-03-09T10:08:05"/>
    <s v="Mobile Cover"/>
    <n v="2"/>
    <n v="450"/>
    <s v="North"/>
    <s v="C0459"/>
    <n v="900"/>
  </r>
  <r>
    <x v="14"/>
    <d v="2024-03-09T21:49:21"/>
    <s v="Wireless Mouse"/>
    <n v="1"/>
    <n v="700"/>
    <s v="North"/>
    <s v="C0413"/>
    <n v="700"/>
  </r>
  <r>
    <x v="14"/>
    <d v="2024-03-10T09:30:37"/>
    <s v="Wireless Mouse"/>
    <n v="6"/>
    <n v="3500"/>
    <s v="North"/>
    <s v="C0054"/>
    <n v="21000"/>
  </r>
  <r>
    <x v="14"/>
    <d v="2024-03-10T21:11:53"/>
    <s v="Wireless Mouse"/>
    <n v="5"/>
    <n v="3500"/>
    <s v="East"/>
    <s v="C0218"/>
    <n v="17500"/>
  </r>
  <r>
    <x v="14"/>
    <d v="2024-03-11T08:53:09"/>
    <s v="Headphones"/>
    <n v="5"/>
    <n v="700"/>
    <s v="West"/>
    <s v="C0016"/>
    <n v="3500"/>
  </r>
  <r>
    <x v="14"/>
    <d v="2024-03-11T20:34:25"/>
    <s v="Laptop Bag"/>
    <n v="1"/>
    <n v="3500"/>
    <s v="East"/>
    <s v="C0099"/>
    <n v="3500"/>
  </r>
  <r>
    <x v="14"/>
    <d v="2024-03-12T08:15:41"/>
    <s v="Headphones"/>
    <n v="6"/>
    <n v="1800"/>
    <s v="East"/>
    <s v="C0020"/>
    <n v="10800"/>
  </r>
  <r>
    <x v="14"/>
    <d v="2024-03-12T19:56:57"/>
    <s v="Laptop Bag"/>
    <n v="1"/>
    <n v="1800"/>
    <s v="North"/>
    <s v="C0046"/>
    <n v="1800"/>
  </r>
  <r>
    <x v="14"/>
    <d v="2024-03-13T07:38:14"/>
    <s v="Wireless Mouse"/>
    <n v="2"/>
    <n v="150"/>
    <s v="East"/>
    <s v="C0451"/>
    <n v="300"/>
  </r>
  <r>
    <x v="14"/>
    <d v="2024-03-13T19:19:30"/>
    <s v="Wireless Mouse"/>
    <n v="3"/>
    <n v="150"/>
    <s v="South"/>
    <s v="C0193"/>
    <n v="450"/>
  </r>
  <r>
    <x v="14"/>
    <d v="2024-03-14T07:00:46"/>
    <s v="Headphones"/>
    <n v="5"/>
    <n v="150"/>
    <s v="East"/>
    <s v="C0383"/>
    <n v="750"/>
  </r>
  <r>
    <x v="14"/>
    <d v="2024-03-14T18:42:02"/>
    <s v="Headphones"/>
    <n v="2"/>
    <n v="3500"/>
    <s v="South"/>
    <s v="C0058"/>
    <n v="7000"/>
  </r>
  <r>
    <x v="14"/>
    <d v="2024-03-15T06:23:18"/>
    <s v="Laptop Bag"/>
    <n v="3"/>
    <n v="1800"/>
    <s v="East"/>
    <s v="C0437"/>
    <n v="5400"/>
  </r>
  <r>
    <x v="14"/>
    <d v="2024-03-15T18:04:34"/>
    <s v="Keyboard"/>
    <n v="2"/>
    <n v="1800"/>
    <s v="West"/>
    <s v="C0111"/>
    <n v="3600"/>
  </r>
  <r>
    <x v="14"/>
    <d v="2024-03-16T05:45:50"/>
    <s v="Laptop Bag"/>
    <n v="6"/>
    <n v="1800"/>
    <s v="West"/>
    <s v="C0129"/>
    <n v="10800"/>
  </r>
  <r>
    <x v="14"/>
    <d v="2024-03-16T17:27:06"/>
    <s v="Headphones"/>
    <n v="5"/>
    <n v="700"/>
    <s v="North"/>
    <s v="C0337"/>
    <n v="3500"/>
  </r>
  <r>
    <x v="14"/>
    <d v="2024-03-17T05:08:22"/>
    <s v="Smart Watch"/>
    <n v="1"/>
    <n v="1800"/>
    <s v="East"/>
    <s v="C0194"/>
    <n v="1800"/>
  </r>
  <r>
    <x v="14"/>
    <d v="2024-03-17T16:49:38"/>
    <s v="Headphones"/>
    <n v="1"/>
    <n v="700"/>
    <s v="South"/>
    <s v="C0413"/>
    <n v="700"/>
  </r>
  <r>
    <x v="14"/>
    <d v="2024-03-18T04:30:54"/>
    <s v="Smart Watch"/>
    <n v="3"/>
    <n v="150"/>
    <s v="South"/>
    <s v="C0340"/>
    <n v="450"/>
  </r>
  <r>
    <x v="14"/>
    <d v="2024-03-18T16:12:10"/>
    <s v="Mobile Cover"/>
    <n v="4"/>
    <n v="150"/>
    <s v="East"/>
    <s v="C0326"/>
    <n v="600"/>
  </r>
  <r>
    <x v="14"/>
    <d v="2024-03-19T03:53:26"/>
    <s v="Headphones"/>
    <n v="6"/>
    <n v="3500"/>
    <s v="South"/>
    <s v="C0008"/>
    <n v="21000"/>
  </r>
  <r>
    <x v="14"/>
    <d v="2024-03-19T15:34:42"/>
    <s v="Mobile Cover"/>
    <n v="3"/>
    <n v="150"/>
    <s v="West"/>
    <s v="C0029"/>
    <n v="450"/>
  </r>
  <r>
    <x v="14"/>
    <d v="2024-03-20T03:15:58"/>
    <s v="Keyboard"/>
    <n v="4"/>
    <n v="3500"/>
    <s v="South"/>
    <s v="C0112"/>
    <n v="14000"/>
  </r>
  <r>
    <x v="14"/>
    <d v="2024-03-20T14:57:14"/>
    <s v="Laptop Bag"/>
    <n v="2"/>
    <n v="450"/>
    <s v="North"/>
    <s v="C0435"/>
    <n v="900"/>
  </r>
  <r>
    <x v="14"/>
    <d v="2024-03-21T02:38:30"/>
    <s v="Smart Watch"/>
    <n v="6"/>
    <n v="450"/>
    <s v="West"/>
    <s v="C0161"/>
    <n v="2700"/>
  </r>
  <r>
    <x v="14"/>
    <d v="2024-03-21T14:19:46"/>
    <s v="Laptop Bag"/>
    <n v="2"/>
    <n v="1200"/>
    <s v="West"/>
    <s v="C0131"/>
    <n v="2400"/>
  </r>
  <r>
    <x v="14"/>
    <d v="2024-03-22T02:01:02"/>
    <s v="Mobile Cover"/>
    <n v="5"/>
    <n v="3500"/>
    <s v="West"/>
    <s v="C0188"/>
    <n v="17500"/>
  </r>
  <r>
    <x v="14"/>
    <d v="2024-03-22T13:42:18"/>
    <s v="Smart Watch"/>
    <n v="6"/>
    <n v="1200"/>
    <s v="East"/>
    <s v="C0163"/>
    <n v="7200"/>
  </r>
  <r>
    <x v="14"/>
    <d v="2024-03-23T01:23:35"/>
    <s v="Laptop Bag"/>
    <n v="4"/>
    <n v="1200"/>
    <s v="East"/>
    <s v="C0197"/>
    <n v="4800"/>
  </r>
  <r>
    <x v="14"/>
    <d v="2024-03-23T13:04:51"/>
    <s v="Headphones"/>
    <n v="5"/>
    <n v="450"/>
    <s v="West"/>
    <s v="C0475"/>
    <n v="2250"/>
  </r>
  <r>
    <x v="14"/>
    <d v="2024-03-24T00:46:07"/>
    <s v="Wireless Mouse"/>
    <n v="1"/>
    <n v="3500"/>
    <s v="East"/>
    <s v="C0364"/>
    <n v="3500"/>
  </r>
  <r>
    <x v="14"/>
    <d v="2024-03-24T12:27:23"/>
    <s v="Mobile Cover"/>
    <n v="4"/>
    <n v="450"/>
    <s v="South"/>
    <s v="C0204"/>
    <n v="1800"/>
  </r>
  <r>
    <x v="14"/>
    <d v="2024-03-25T00:08:39"/>
    <s v="Laptop Bag"/>
    <n v="3"/>
    <n v="1200"/>
    <s v="East"/>
    <s v="C0212"/>
    <n v="3600"/>
  </r>
  <r>
    <x v="14"/>
    <d v="2024-03-25T11:49:55"/>
    <s v="Mobile Cover"/>
    <n v="1"/>
    <n v="3500"/>
    <s v="East"/>
    <s v="C0109"/>
    <n v="3500"/>
  </r>
  <r>
    <x v="14"/>
    <d v="2024-03-25T23:31:11"/>
    <s v="Mobile Cover"/>
    <n v="1"/>
    <n v="1200"/>
    <s v="West"/>
    <s v="C0276"/>
    <n v="1200"/>
  </r>
  <r>
    <x v="14"/>
    <d v="2024-03-26T11:12:27"/>
    <s v="Smart Watch"/>
    <n v="3"/>
    <n v="1800"/>
    <s v="North"/>
    <s v="C0073"/>
    <n v="5400"/>
  </r>
  <r>
    <x v="14"/>
    <d v="2024-03-26T22:53:43"/>
    <s v="Smart Watch"/>
    <n v="6"/>
    <n v="3500"/>
    <s v="North"/>
    <s v="C0167"/>
    <n v="21000"/>
  </r>
  <r>
    <x v="14"/>
    <d v="2024-03-27T10:34:59"/>
    <s v="Wireless Mouse"/>
    <n v="1"/>
    <n v="3500"/>
    <s v="North"/>
    <s v="C0260"/>
    <n v="3500"/>
  </r>
  <r>
    <x v="14"/>
    <d v="2024-03-27T22:16:15"/>
    <s v="Headphones"/>
    <n v="4"/>
    <n v="1200"/>
    <s v="South"/>
    <s v="C0243"/>
    <n v="4800"/>
  </r>
  <r>
    <x v="14"/>
    <d v="2024-03-28T09:57:31"/>
    <s v="Mobile Cover"/>
    <n v="5"/>
    <n v="1800"/>
    <s v="East"/>
    <s v="C0275"/>
    <n v="9000"/>
  </r>
  <r>
    <x v="14"/>
    <d v="2024-03-28T21:38:47"/>
    <s v="Laptop Bag"/>
    <n v="1"/>
    <n v="700"/>
    <s v="North"/>
    <s v="C0102"/>
    <n v="700"/>
  </r>
  <r>
    <x v="14"/>
    <d v="2024-03-29T09:20:03"/>
    <s v="Keyboard"/>
    <n v="4"/>
    <n v="450"/>
    <s v="West"/>
    <s v="C0475"/>
    <n v="1800"/>
  </r>
  <r>
    <x v="14"/>
    <d v="2024-03-29T21:01:19"/>
    <s v="Mobile Cover"/>
    <n v="2"/>
    <n v="1200"/>
    <s v="North"/>
    <s v="C0173"/>
    <n v="2400"/>
  </r>
  <r>
    <x v="14"/>
    <d v="2024-03-30T08:42:35"/>
    <s v="Mobile Cover"/>
    <n v="4"/>
    <n v="3500"/>
    <s v="North"/>
    <s v="C0171"/>
    <n v="14000"/>
  </r>
  <r>
    <x v="14"/>
    <d v="2024-03-30T20:23:51"/>
    <s v="Wireless Mouse"/>
    <n v="5"/>
    <n v="450"/>
    <s v="East"/>
    <s v="C0141"/>
    <n v="2250"/>
  </r>
  <r>
    <x v="14"/>
    <d v="2024-03-31T08:05:07"/>
    <s v="Headphones"/>
    <n v="4"/>
    <n v="450"/>
    <s v="East"/>
    <s v="C0397"/>
    <n v="1800"/>
  </r>
  <r>
    <x v="14"/>
    <d v="2024-03-31T19:46:23"/>
    <s v="Keyboard"/>
    <n v="3"/>
    <n v="450"/>
    <s v="East"/>
    <s v="C0188"/>
    <n v="1350"/>
  </r>
  <r>
    <x v="15"/>
    <d v="2024-04-01T07:27:40"/>
    <s v="Smart Watch"/>
    <n v="5"/>
    <n v="700"/>
    <s v="South"/>
    <s v="C0441"/>
    <n v="3500"/>
  </r>
  <r>
    <x v="15"/>
    <d v="2024-04-01T19:08:56"/>
    <s v="Smart Watch"/>
    <n v="6"/>
    <n v="150"/>
    <s v="South"/>
    <s v="C0086"/>
    <n v="900"/>
  </r>
  <r>
    <x v="15"/>
    <d v="2024-04-02T06:50:12"/>
    <s v="Laptop Bag"/>
    <n v="2"/>
    <n v="1200"/>
    <s v="North"/>
    <s v="C0476"/>
    <n v="2400"/>
  </r>
  <r>
    <x v="15"/>
    <d v="2024-04-02T18:31:28"/>
    <s v="Keyboard"/>
    <n v="3"/>
    <n v="150"/>
    <s v="East"/>
    <s v="C0052"/>
    <n v="450"/>
  </r>
  <r>
    <x v="15"/>
    <d v="2024-04-03T06:12:44"/>
    <s v="Smart Watch"/>
    <n v="6"/>
    <n v="150"/>
    <s v="North"/>
    <s v="C0111"/>
    <n v="900"/>
  </r>
  <r>
    <x v="15"/>
    <d v="2024-04-03T17:54:00"/>
    <s v="Laptop Bag"/>
    <n v="4"/>
    <n v="150"/>
    <s v="West"/>
    <s v="C0437"/>
    <n v="600"/>
  </r>
  <r>
    <x v="15"/>
    <d v="2024-04-04T05:35:16"/>
    <s v="Headphones"/>
    <n v="5"/>
    <n v="450"/>
    <s v="West"/>
    <s v="C0365"/>
    <n v="2250"/>
  </r>
  <r>
    <x v="15"/>
    <d v="2024-04-04T17:16:32"/>
    <s v="Laptop Bag"/>
    <n v="2"/>
    <n v="1800"/>
    <s v="East"/>
    <s v="C0342"/>
    <n v="3600"/>
  </r>
  <r>
    <x v="15"/>
    <d v="2024-04-05T04:57:48"/>
    <s v="Smart Watch"/>
    <n v="3"/>
    <n v="450"/>
    <s v="East"/>
    <s v="C0043"/>
    <n v="1350"/>
  </r>
  <r>
    <x v="15"/>
    <d v="2024-04-05T16:39:04"/>
    <s v="Wireless Mouse"/>
    <n v="6"/>
    <n v="450"/>
    <s v="West"/>
    <s v="C0211"/>
    <n v="2700"/>
  </r>
  <r>
    <x v="15"/>
    <d v="2024-04-06T04:20:20"/>
    <s v="Wireless Mouse"/>
    <n v="6"/>
    <n v="3500"/>
    <s v="East"/>
    <s v="C0456"/>
    <n v="21000"/>
  </r>
  <r>
    <x v="15"/>
    <d v="2024-04-06T16:01:36"/>
    <s v="Wireless Mouse"/>
    <n v="2"/>
    <n v="3500"/>
    <s v="South"/>
    <s v="C0200"/>
    <n v="7000"/>
  </r>
  <r>
    <x v="15"/>
    <d v="2024-04-07T03:42:52"/>
    <s v="Smart Watch"/>
    <n v="4"/>
    <n v="150"/>
    <s v="South"/>
    <s v="C0298"/>
    <n v="600"/>
  </r>
  <r>
    <x v="15"/>
    <d v="2024-04-07T15:24:08"/>
    <s v="Wireless Mouse"/>
    <n v="2"/>
    <n v="450"/>
    <s v="East"/>
    <s v="C0346"/>
    <n v="900"/>
  </r>
  <r>
    <x v="15"/>
    <d v="2024-04-08T03:05:24"/>
    <s v="Keyboard"/>
    <n v="6"/>
    <n v="150"/>
    <s v="West"/>
    <s v="C0240"/>
    <n v="900"/>
  </r>
  <r>
    <x v="15"/>
    <d v="2024-04-08T14:46:40"/>
    <s v="Headphones"/>
    <n v="1"/>
    <n v="3500"/>
    <s v="North"/>
    <s v="C0115"/>
    <n v="3500"/>
  </r>
  <r>
    <x v="15"/>
    <d v="2024-04-09T02:27:56"/>
    <s v="Laptop Bag"/>
    <n v="3"/>
    <n v="1800"/>
    <s v="East"/>
    <s v="C0026"/>
    <n v="5400"/>
  </r>
  <r>
    <x v="15"/>
    <d v="2024-04-09T14:09:12"/>
    <s v="Laptop Bag"/>
    <n v="2"/>
    <n v="1200"/>
    <s v="East"/>
    <s v="C0407"/>
    <n v="2400"/>
  </r>
  <r>
    <x v="15"/>
    <d v="2024-04-10T01:50:28"/>
    <s v="Smart Watch"/>
    <n v="6"/>
    <n v="150"/>
    <s v="North"/>
    <s v="C0299"/>
    <n v="900"/>
  </r>
  <r>
    <x v="15"/>
    <d v="2024-04-10T13:31:44"/>
    <s v="Wireless Mouse"/>
    <n v="4"/>
    <n v="1800"/>
    <s v="East"/>
    <s v="C0077"/>
    <n v="7200"/>
  </r>
  <r>
    <x v="15"/>
    <d v="2024-04-11T01:13:01"/>
    <s v="Wireless Mouse"/>
    <n v="6"/>
    <n v="1200"/>
    <s v="North"/>
    <s v="C0412"/>
    <n v="7200"/>
  </r>
  <r>
    <x v="15"/>
    <d v="2024-04-11T12:54:17"/>
    <s v="Mobile Cover"/>
    <n v="4"/>
    <n v="700"/>
    <s v="West"/>
    <s v="C0137"/>
    <n v="2800"/>
  </r>
  <r>
    <x v="15"/>
    <d v="2024-04-12T00:35:33"/>
    <s v="Headphones"/>
    <n v="2"/>
    <n v="150"/>
    <s v="South"/>
    <s v="C0020"/>
    <n v="300"/>
  </r>
  <r>
    <x v="15"/>
    <d v="2024-04-12T12:16:49"/>
    <s v="Keyboard"/>
    <n v="4"/>
    <n v="150"/>
    <s v="West"/>
    <s v="C0440"/>
    <n v="600"/>
  </r>
  <r>
    <x v="15"/>
    <d v="2024-04-12T23:58:05"/>
    <s v="Laptop Bag"/>
    <n v="5"/>
    <n v="700"/>
    <s v="South"/>
    <s v="C0211"/>
    <n v="3500"/>
  </r>
  <r>
    <x v="15"/>
    <d v="2024-04-13T11:39:21"/>
    <s v="Mobile Cover"/>
    <n v="5"/>
    <n v="700"/>
    <s v="North"/>
    <s v="C0240"/>
    <n v="3500"/>
  </r>
  <r>
    <x v="15"/>
    <d v="2024-04-13T23:20:37"/>
    <s v="Mobile Cover"/>
    <n v="5"/>
    <n v="150"/>
    <s v="South"/>
    <s v="C0039"/>
    <n v="750"/>
  </r>
  <r>
    <x v="15"/>
    <d v="2024-04-14T11:01:53"/>
    <s v="Smart Watch"/>
    <n v="1"/>
    <n v="700"/>
    <s v="West"/>
    <s v="C0435"/>
    <n v="700"/>
  </r>
  <r>
    <x v="15"/>
    <d v="2024-04-14T22:43:09"/>
    <s v="Laptop Bag"/>
    <n v="2"/>
    <n v="450"/>
    <s v="South"/>
    <s v="C0268"/>
    <n v="900"/>
  </r>
  <r>
    <x v="15"/>
    <d v="2024-04-15T10:24:25"/>
    <s v="Smart Watch"/>
    <n v="6"/>
    <n v="1200"/>
    <s v="North"/>
    <s v="C0207"/>
    <n v="7200"/>
  </r>
  <r>
    <x v="15"/>
    <d v="2024-04-15T22:05:41"/>
    <s v="Keyboard"/>
    <n v="6"/>
    <n v="1200"/>
    <s v="South"/>
    <s v="C0479"/>
    <n v="7200"/>
  </r>
  <r>
    <x v="15"/>
    <d v="2024-04-16T09:46:57"/>
    <s v="Mobile Cover"/>
    <n v="1"/>
    <n v="1200"/>
    <s v="East"/>
    <s v="C0439"/>
    <n v="1200"/>
  </r>
  <r>
    <x v="15"/>
    <d v="2024-04-16T21:28:13"/>
    <s v="Mobile Cover"/>
    <n v="4"/>
    <n v="450"/>
    <s v="West"/>
    <s v="C0462"/>
    <n v="1800"/>
  </r>
  <r>
    <x v="15"/>
    <d v="2024-04-17T09:09:29"/>
    <s v="Headphones"/>
    <n v="1"/>
    <n v="700"/>
    <s v="East"/>
    <s v="C0267"/>
    <n v="700"/>
  </r>
  <r>
    <x v="15"/>
    <d v="2024-04-17T20:50:45"/>
    <s v="Keyboard"/>
    <n v="4"/>
    <n v="1800"/>
    <s v="North"/>
    <s v="C0154"/>
    <n v="7200"/>
  </r>
  <r>
    <x v="15"/>
    <d v="2024-04-18T08:32:01"/>
    <s v="Mobile Cover"/>
    <n v="4"/>
    <n v="700"/>
    <s v="South"/>
    <s v="C0042"/>
    <n v="2800"/>
  </r>
  <r>
    <x v="15"/>
    <d v="2024-04-18T20:13:17"/>
    <s v="Keyboard"/>
    <n v="3"/>
    <n v="150"/>
    <s v="East"/>
    <s v="C0411"/>
    <n v="450"/>
  </r>
  <r>
    <x v="15"/>
    <d v="2024-04-19T07:54:33"/>
    <s v="Laptop Bag"/>
    <n v="6"/>
    <n v="3500"/>
    <s v="East"/>
    <s v="C0011"/>
    <n v="21000"/>
  </r>
  <r>
    <x v="15"/>
    <d v="2024-04-19T19:35:49"/>
    <s v="Wireless Mouse"/>
    <n v="5"/>
    <n v="1200"/>
    <s v="South"/>
    <s v="C0294"/>
    <n v="6000"/>
  </r>
  <r>
    <x v="15"/>
    <d v="2024-04-20T07:17:05"/>
    <s v="Mobile Cover"/>
    <n v="4"/>
    <n v="700"/>
    <s v="South"/>
    <s v="C0098"/>
    <n v="2800"/>
  </r>
  <r>
    <x v="15"/>
    <d v="2024-04-20T18:58:22"/>
    <s v="Headphones"/>
    <n v="3"/>
    <n v="1800"/>
    <s v="West"/>
    <s v="C0427"/>
    <n v="5400"/>
  </r>
  <r>
    <x v="15"/>
    <d v="2024-04-21T06:39:38"/>
    <s v="Laptop Bag"/>
    <n v="6"/>
    <n v="150"/>
    <s v="East"/>
    <s v="C0275"/>
    <n v="900"/>
  </r>
  <r>
    <x v="15"/>
    <d v="2024-04-21T18:20:54"/>
    <s v="Keyboard"/>
    <n v="5"/>
    <n v="450"/>
    <s v="East"/>
    <s v="C0448"/>
    <n v="2250"/>
  </r>
  <r>
    <x v="15"/>
    <d v="2024-04-22T06:02:10"/>
    <s v="Smart Watch"/>
    <n v="4"/>
    <n v="450"/>
    <s v="North"/>
    <s v="C0390"/>
    <n v="1800"/>
  </r>
  <r>
    <x v="15"/>
    <d v="2024-04-22T17:43:26"/>
    <s v="Laptop Bag"/>
    <n v="4"/>
    <n v="1800"/>
    <s v="West"/>
    <s v="C0430"/>
    <n v="7200"/>
  </r>
  <r>
    <x v="15"/>
    <d v="2024-04-23T05:24:42"/>
    <s v="Mobile Cover"/>
    <n v="1"/>
    <n v="150"/>
    <s v="North"/>
    <s v="C0372"/>
    <n v="150"/>
  </r>
  <r>
    <x v="15"/>
    <d v="2024-04-23T17:05:58"/>
    <s v="Keyboard"/>
    <n v="1"/>
    <n v="1200"/>
    <s v="East"/>
    <s v="C0230"/>
    <n v="1200"/>
  </r>
  <r>
    <x v="15"/>
    <d v="2024-04-24T04:47:14"/>
    <s v="Wireless Mouse"/>
    <n v="6"/>
    <n v="700"/>
    <s v="North"/>
    <s v="C0369"/>
    <n v="4200"/>
  </r>
  <r>
    <x v="15"/>
    <d v="2024-04-24T16:28:30"/>
    <s v="Laptop Bag"/>
    <n v="5"/>
    <n v="150"/>
    <s v="East"/>
    <s v="C0426"/>
    <n v="750"/>
  </r>
  <r>
    <x v="15"/>
    <d v="2024-04-25T04:09:46"/>
    <s v="Mobile Cover"/>
    <n v="4"/>
    <n v="450"/>
    <s v="East"/>
    <s v="C0220"/>
    <n v="1800"/>
  </r>
  <r>
    <x v="15"/>
    <d v="2024-04-25T15:51:02"/>
    <s v="Headphones"/>
    <n v="6"/>
    <n v="1800"/>
    <s v="North"/>
    <s v="C0065"/>
    <n v="10800"/>
  </r>
  <r>
    <x v="15"/>
    <d v="2024-04-26T03:32:18"/>
    <s v="Smart Watch"/>
    <n v="6"/>
    <n v="1800"/>
    <s v="North"/>
    <s v="C0355"/>
    <n v="10800"/>
  </r>
  <r>
    <x v="15"/>
    <d v="2024-04-26T15:13:34"/>
    <s v="Keyboard"/>
    <n v="2"/>
    <n v="700"/>
    <s v="South"/>
    <s v="C0232"/>
    <n v="1400"/>
  </r>
  <r>
    <x v="15"/>
    <d v="2024-04-27T02:54:50"/>
    <s v="Laptop Bag"/>
    <n v="1"/>
    <n v="1800"/>
    <s v="South"/>
    <s v="C0328"/>
    <n v="1800"/>
  </r>
  <r>
    <x v="15"/>
    <d v="2024-04-27T14:36:06"/>
    <s v="Laptop Bag"/>
    <n v="5"/>
    <n v="1800"/>
    <s v="South"/>
    <s v="C0443"/>
    <n v="9000"/>
  </r>
  <r>
    <x v="15"/>
    <d v="2024-04-28T02:17:22"/>
    <s v="Wireless Mouse"/>
    <n v="4"/>
    <n v="150"/>
    <s v="East"/>
    <s v="C0052"/>
    <n v="600"/>
  </r>
  <r>
    <x v="15"/>
    <d v="2024-04-28T13:58:38"/>
    <s v="Wireless Mouse"/>
    <n v="6"/>
    <n v="1200"/>
    <s v="North"/>
    <s v="C0374"/>
    <n v="7200"/>
  </r>
  <r>
    <x v="15"/>
    <d v="2024-04-29T01:39:54"/>
    <s v="Headphones"/>
    <n v="4"/>
    <n v="700"/>
    <s v="West"/>
    <s v="C0431"/>
    <n v="2800"/>
  </r>
  <r>
    <x v="15"/>
    <d v="2024-04-29T13:21:10"/>
    <s v="Smart Watch"/>
    <n v="2"/>
    <n v="150"/>
    <s v="East"/>
    <s v="C0376"/>
    <n v="300"/>
  </r>
  <r>
    <x v="15"/>
    <d v="2024-04-30T01:02:26"/>
    <s v="Headphones"/>
    <n v="5"/>
    <n v="1200"/>
    <s v="West"/>
    <s v="C0263"/>
    <n v="6000"/>
  </r>
  <r>
    <x v="15"/>
    <d v="2024-04-30T12:43:43"/>
    <s v="Mobile Cover"/>
    <n v="6"/>
    <n v="150"/>
    <s v="North"/>
    <s v="C0267"/>
    <n v="900"/>
  </r>
  <r>
    <x v="16"/>
    <d v="2024-05-01T00:24:59"/>
    <s v="Mobile Cover"/>
    <n v="4"/>
    <n v="3500"/>
    <s v="East"/>
    <s v="C0359"/>
    <n v="14000"/>
  </r>
  <r>
    <x v="16"/>
    <d v="2024-05-01T12:06:15"/>
    <s v="Headphones"/>
    <n v="1"/>
    <n v="150"/>
    <s v="West"/>
    <s v="C0317"/>
    <n v="150"/>
  </r>
  <r>
    <x v="16"/>
    <d v="2024-05-01T23:47:31"/>
    <s v="Smart Watch"/>
    <n v="2"/>
    <n v="1800"/>
    <s v="West"/>
    <s v="C0324"/>
    <n v="3600"/>
  </r>
  <r>
    <x v="16"/>
    <d v="2024-05-02T11:28:47"/>
    <s v="Headphones"/>
    <n v="5"/>
    <n v="1200"/>
    <s v="South"/>
    <s v="C0409"/>
    <n v="6000"/>
  </r>
  <r>
    <x v="16"/>
    <d v="2024-05-02T23:10:03"/>
    <s v="Smart Watch"/>
    <n v="2"/>
    <n v="700"/>
    <s v="South"/>
    <s v="C0396"/>
    <n v="1400"/>
  </r>
  <r>
    <x v="16"/>
    <d v="2024-05-03T10:51:19"/>
    <s v="Smart Watch"/>
    <n v="1"/>
    <n v="700"/>
    <s v="South"/>
    <s v="C0154"/>
    <n v="700"/>
  </r>
  <r>
    <x v="16"/>
    <d v="2024-05-03T22:32:35"/>
    <s v="Keyboard"/>
    <n v="5"/>
    <n v="1200"/>
    <s v="East"/>
    <s v="C0358"/>
    <n v="6000"/>
  </r>
  <r>
    <x v="16"/>
    <d v="2024-05-04T10:13:51"/>
    <s v="Smart Watch"/>
    <n v="2"/>
    <n v="1800"/>
    <s v="North"/>
    <s v="C0366"/>
    <n v="3600"/>
  </r>
  <r>
    <x v="16"/>
    <d v="2024-05-04T21:55:07"/>
    <s v="Wireless Mouse"/>
    <n v="3"/>
    <n v="450"/>
    <s v="North"/>
    <s v="C0140"/>
    <n v="1350"/>
  </r>
  <r>
    <x v="16"/>
    <d v="2024-05-05T09:36:23"/>
    <s v="Smart Watch"/>
    <n v="1"/>
    <n v="150"/>
    <s v="South"/>
    <s v="C0427"/>
    <n v="150"/>
  </r>
  <r>
    <x v="16"/>
    <d v="2024-05-05T21:17:39"/>
    <s v="Smart Watch"/>
    <n v="1"/>
    <n v="1800"/>
    <s v="South"/>
    <s v="C0051"/>
    <n v="1800"/>
  </r>
  <r>
    <x v="16"/>
    <d v="2024-05-06T08:58:55"/>
    <s v="Smart Watch"/>
    <n v="1"/>
    <n v="3500"/>
    <s v="South"/>
    <s v="C0117"/>
    <n v="3500"/>
  </r>
  <r>
    <x v="16"/>
    <d v="2024-05-06T20:40:11"/>
    <s v="Mobile Cover"/>
    <n v="3"/>
    <n v="1200"/>
    <s v="West"/>
    <s v="C0421"/>
    <n v="3600"/>
  </r>
  <r>
    <x v="16"/>
    <d v="2024-05-07T08:21:27"/>
    <s v="Wireless Mouse"/>
    <n v="3"/>
    <n v="150"/>
    <s v="South"/>
    <s v="C0046"/>
    <n v="450"/>
  </r>
  <r>
    <x v="16"/>
    <d v="2024-05-07T20:02:43"/>
    <s v="Wireless Mouse"/>
    <n v="4"/>
    <n v="700"/>
    <s v="West"/>
    <s v="C0309"/>
    <n v="2800"/>
  </r>
  <r>
    <x v="16"/>
    <d v="2024-05-08T07:43:59"/>
    <s v="Headphones"/>
    <n v="6"/>
    <n v="450"/>
    <s v="North"/>
    <s v="C0088"/>
    <n v="2700"/>
  </r>
  <r>
    <x v="16"/>
    <d v="2024-05-08T19:25:15"/>
    <s v="Keyboard"/>
    <n v="2"/>
    <n v="3500"/>
    <s v="East"/>
    <s v="C0208"/>
    <n v="7000"/>
  </r>
  <r>
    <x v="16"/>
    <d v="2024-05-09T07:06:31"/>
    <s v="Smart Watch"/>
    <n v="4"/>
    <n v="700"/>
    <s v="East"/>
    <s v="C0377"/>
    <n v="2800"/>
  </r>
  <r>
    <x v="16"/>
    <d v="2024-05-09T18:47:48"/>
    <s v="Laptop Bag"/>
    <n v="2"/>
    <n v="1200"/>
    <s v="East"/>
    <s v="C0269"/>
    <n v="2400"/>
  </r>
  <r>
    <x v="16"/>
    <d v="2024-05-10T06:29:04"/>
    <s v="Keyboard"/>
    <n v="6"/>
    <n v="150"/>
    <s v="East"/>
    <s v="C0089"/>
    <n v="900"/>
  </r>
  <r>
    <x v="16"/>
    <d v="2024-05-10T18:10:20"/>
    <s v="Keyboard"/>
    <n v="3"/>
    <n v="1200"/>
    <s v="West"/>
    <s v="C0381"/>
    <n v="3600"/>
  </r>
  <r>
    <x v="16"/>
    <d v="2024-05-11T05:51:36"/>
    <s v="Wireless Mouse"/>
    <n v="6"/>
    <n v="150"/>
    <s v="West"/>
    <s v="C0118"/>
    <n v="900"/>
  </r>
  <r>
    <x v="16"/>
    <d v="2024-05-11T17:32:52"/>
    <s v="Keyboard"/>
    <n v="3"/>
    <n v="1800"/>
    <s v="South"/>
    <s v="C0054"/>
    <n v="5400"/>
  </r>
  <r>
    <x v="16"/>
    <d v="2024-05-12T05:14:08"/>
    <s v="Smart Watch"/>
    <n v="6"/>
    <n v="450"/>
    <s v="West"/>
    <s v="C0441"/>
    <n v="2700"/>
  </r>
  <r>
    <x v="16"/>
    <d v="2024-05-12T16:55:24"/>
    <s v="Smart Watch"/>
    <n v="4"/>
    <n v="1800"/>
    <s v="South"/>
    <s v="C0116"/>
    <n v="7200"/>
  </r>
  <r>
    <x v="16"/>
    <d v="2024-05-13T04:36:40"/>
    <s v="Mobile Cover"/>
    <n v="5"/>
    <n v="1800"/>
    <s v="South"/>
    <s v="C0118"/>
    <n v="9000"/>
  </r>
  <r>
    <x v="16"/>
    <d v="2024-05-13T16:17:56"/>
    <s v="Smart Watch"/>
    <n v="4"/>
    <n v="1200"/>
    <s v="East"/>
    <s v="C0260"/>
    <n v="4800"/>
  </r>
  <r>
    <x v="16"/>
    <d v="2024-05-14T03:59:12"/>
    <s v="Smart Watch"/>
    <n v="2"/>
    <n v="450"/>
    <s v="West"/>
    <s v="C0075"/>
    <n v="900"/>
  </r>
  <r>
    <x v="16"/>
    <d v="2024-05-14T15:40:28"/>
    <s v="Wireless Mouse"/>
    <n v="4"/>
    <n v="150"/>
    <s v="West"/>
    <s v="C0480"/>
    <n v="600"/>
  </r>
  <r>
    <x v="16"/>
    <d v="2024-05-15T03:21:44"/>
    <s v="Smart Watch"/>
    <n v="1"/>
    <n v="150"/>
    <s v="South"/>
    <s v="C0305"/>
    <n v="150"/>
  </r>
  <r>
    <x v="16"/>
    <d v="2024-05-15T15:03:00"/>
    <s v="Mobile Cover"/>
    <n v="2"/>
    <n v="3500"/>
    <s v="South"/>
    <s v="C0007"/>
    <n v="7000"/>
  </r>
  <r>
    <x v="16"/>
    <d v="2024-05-16T02:44:16"/>
    <s v="Laptop Bag"/>
    <n v="6"/>
    <n v="700"/>
    <s v="North"/>
    <s v="C0366"/>
    <n v="4200"/>
  </r>
  <r>
    <x v="16"/>
    <d v="2024-05-16T14:25:32"/>
    <s v="Wireless Mouse"/>
    <n v="2"/>
    <n v="3500"/>
    <s v="North"/>
    <s v="C0122"/>
    <n v="7000"/>
  </r>
  <r>
    <x v="16"/>
    <d v="2024-05-17T02:06:48"/>
    <s v="Laptop Bag"/>
    <n v="5"/>
    <n v="3500"/>
    <s v="South"/>
    <s v="C0011"/>
    <n v="17500"/>
  </r>
  <r>
    <x v="16"/>
    <d v="2024-05-17T13:48:04"/>
    <s v="Wireless Mouse"/>
    <n v="3"/>
    <n v="150"/>
    <s v="North"/>
    <s v="C0348"/>
    <n v="450"/>
  </r>
  <r>
    <x v="16"/>
    <d v="2024-05-18T01:29:20"/>
    <s v="Headphones"/>
    <n v="6"/>
    <n v="1200"/>
    <s v="North"/>
    <s v="C0438"/>
    <n v="7200"/>
  </r>
  <r>
    <x v="16"/>
    <d v="2024-05-18T13:10:36"/>
    <s v="Keyboard"/>
    <n v="2"/>
    <n v="1800"/>
    <s v="South"/>
    <s v="C0489"/>
    <n v="3600"/>
  </r>
  <r>
    <x v="16"/>
    <d v="2024-05-19T00:51:52"/>
    <s v="Headphones"/>
    <n v="6"/>
    <n v="1800"/>
    <s v="South"/>
    <s v="C0215"/>
    <n v="10800"/>
  </r>
  <r>
    <x v="16"/>
    <d v="2024-05-19T12:33:09"/>
    <s v="Smart Watch"/>
    <n v="6"/>
    <n v="1800"/>
    <s v="West"/>
    <s v="C0429"/>
    <n v="10800"/>
  </r>
  <r>
    <x v="16"/>
    <d v="2024-05-20T00:14:25"/>
    <s v="Laptop Bag"/>
    <n v="6"/>
    <n v="450"/>
    <s v="South"/>
    <s v="C0279"/>
    <n v="2700"/>
  </r>
  <r>
    <x v="16"/>
    <d v="2024-05-20T11:55:41"/>
    <s v="Smart Watch"/>
    <n v="3"/>
    <n v="150"/>
    <s v="South"/>
    <s v="C0498"/>
    <n v="450"/>
  </r>
  <r>
    <x v="16"/>
    <d v="2024-05-20T23:36:57"/>
    <s v="Keyboard"/>
    <n v="4"/>
    <n v="1200"/>
    <s v="East"/>
    <s v="C0028"/>
    <n v="4800"/>
  </r>
  <r>
    <x v="16"/>
    <d v="2024-05-21T11:18:13"/>
    <s v="Wireless Mouse"/>
    <n v="6"/>
    <n v="450"/>
    <s v="West"/>
    <s v="C0235"/>
    <n v="2700"/>
  </r>
  <r>
    <x v="16"/>
    <d v="2024-05-21T22:59:29"/>
    <s v="Keyboard"/>
    <n v="1"/>
    <n v="700"/>
    <s v="West"/>
    <s v="C0367"/>
    <n v="700"/>
  </r>
  <r>
    <x v="16"/>
    <d v="2024-05-22T10:40:45"/>
    <s v="Mobile Cover"/>
    <n v="5"/>
    <n v="1200"/>
    <s v="West"/>
    <s v="C0313"/>
    <n v="6000"/>
  </r>
  <r>
    <x v="16"/>
    <d v="2024-05-22T22:22:01"/>
    <s v="Keyboard"/>
    <n v="3"/>
    <n v="3500"/>
    <s v="East"/>
    <s v="C0026"/>
    <n v="10500"/>
  </r>
  <r>
    <x v="16"/>
    <d v="2024-05-23T10:03:17"/>
    <s v="Mobile Cover"/>
    <n v="2"/>
    <n v="1200"/>
    <s v="South"/>
    <s v="C0409"/>
    <n v="2400"/>
  </r>
  <r>
    <x v="16"/>
    <d v="2024-05-23T21:44:33"/>
    <s v="Keyboard"/>
    <n v="3"/>
    <n v="1200"/>
    <s v="West"/>
    <s v="C0054"/>
    <n v="3600"/>
  </r>
  <r>
    <x v="16"/>
    <d v="2024-05-24T09:25:49"/>
    <s v="Mobile Cover"/>
    <n v="2"/>
    <n v="1800"/>
    <s v="West"/>
    <s v="C0029"/>
    <n v="3600"/>
  </r>
  <r>
    <x v="16"/>
    <d v="2024-05-24T21:07:05"/>
    <s v="Laptop Bag"/>
    <n v="3"/>
    <n v="1200"/>
    <s v="North"/>
    <s v="C0467"/>
    <n v="3600"/>
  </r>
  <r>
    <x v="16"/>
    <d v="2024-05-25T08:48:21"/>
    <s v="Smart Watch"/>
    <n v="2"/>
    <n v="3500"/>
    <s v="West"/>
    <s v="C0353"/>
    <n v="7000"/>
  </r>
  <r>
    <x v="16"/>
    <d v="2024-05-25T20:29:37"/>
    <s v="Smart Watch"/>
    <n v="6"/>
    <n v="3500"/>
    <s v="South"/>
    <s v="C0164"/>
    <n v="21000"/>
  </r>
  <r>
    <x v="16"/>
    <d v="2024-05-26T08:10:53"/>
    <s v="Headphones"/>
    <n v="4"/>
    <n v="150"/>
    <s v="South"/>
    <s v="C0270"/>
    <n v="600"/>
  </r>
  <r>
    <x v="16"/>
    <d v="2024-05-26T19:52:09"/>
    <s v="Smart Watch"/>
    <n v="2"/>
    <n v="1200"/>
    <s v="North"/>
    <s v="C0334"/>
    <n v="2400"/>
  </r>
  <r>
    <x v="16"/>
    <d v="2024-05-27T07:33:25"/>
    <s v="Wireless Mouse"/>
    <n v="2"/>
    <n v="1800"/>
    <s v="West"/>
    <s v="C0035"/>
    <n v="3600"/>
  </r>
  <r>
    <x v="16"/>
    <d v="2024-05-27T19:14:41"/>
    <s v="Keyboard"/>
    <n v="1"/>
    <n v="1200"/>
    <s v="West"/>
    <s v="C0286"/>
    <n v="1200"/>
  </r>
  <r>
    <x v="16"/>
    <d v="2024-05-28T06:55:57"/>
    <s v="Headphones"/>
    <n v="2"/>
    <n v="700"/>
    <s v="West"/>
    <s v="C0348"/>
    <n v="1400"/>
  </r>
  <r>
    <x v="16"/>
    <d v="2024-05-28T18:37:13"/>
    <s v="Wireless Mouse"/>
    <n v="1"/>
    <n v="700"/>
    <s v="East"/>
    <s v="C0273"/>
    <n v="700"/>
  </r>
  <r>
    <x v="16"/>
    <d v="2024-05-29T06:18:30"/>
    <s v="Wireless Mouse"/>
    <n v="5"/>
    <n v="1800"/>
    <s v="West"/>
    <s v="C0451"/>
    <n v="9000"/>
  </r>
  <r>
    <x v="16"/>
    <d v="2024-05-29T17:59:46"/>
    <s v="Mobile Cover"/>
    <n v="6"/>
    <n v="150"/>
    <s v="South"/>
    <s v="C0208"/>
    <n v="900"/>
  </r>
  <r>
    <x v="16"/>
    <d v="2024-05-30T05:41:02"/>
    <s v="Smart Watch"/>
    <n v="1"/>
    <n v="150"/>
    <s v="South"/>
    <s v="C0238"/>
    <n v="150"/>
  </r>
  <r>
    <x v="16"/>
    <d v="2024-05-30T17:22:18"/>
    <s v="Laptop Bag"/>
    <n v="4"/>
    <n v="3500"/>
    <s v="East"/>
    <s v="C0414"/>
    <n v="14000"/>
  </r>
  <r>
    <x v="16"/>
    <d v="2024-05-31T05:03:34"/>
    <s v="Laptop Bag"/>
    <n v="6"/>
    <n v="3500"/>
    <s v="East"/>
    <s v="C0093"/>
    <n v="21000"/>
  </r>
  <r>
    <x v="16"/>
    <d v="2024-05-31T16:44:50"/>
    <s v="Headphones"/>
    <n v="1"/>
    <n v="450"/>
    <s v="West"/>
    <s v="C0173"/>
    <n v="450"/>
  </r>
  <r>
    <x v="17"/>
    <d v="2024-06-01T04:26:06"/>
    <s v="Laptop Bag"/>
    <n v="6"/>
    <n v="1800"/>
    <s v="North"/>
    <s v="C0079"/>
    <n v="10800"/>
  </r>
  <r>
    <x v="17"/>
    <d v="2024-06-01T16:07:22"/>
    <s v="Keyboard"/>
    <n v="6"/>
    <n v="1200"/>
    <s v="East"/>
    <s v="C0110"/>
    <n v="7200"/>
  </r>
  <r>
    <x v="17"/>
    <d v="2024-06-02T03:48:38"/>
    <s v="Laptop Bag"/>
    <n v="6"/>
    <n v="1800"/>
    <s v="East"/>
    <s v="C0217"/>
    <n v="10800"/>
  </r>
  <r>
    <x v="17"/>
    <d v="2024-06-02T15:29:54"/>
    <s v="Headphones"/>
    <n v="5"/>
    <n v="450"/>
    <s v="West"/>
    <s v="C0435"/>
    <n v="2250"/>
  </r>
  <r>
    <x v="17"/>
    <d v="2024-06-03T03:11:10"/>
    <s v="Laptop Bag"/>
    <n v="4"/>
    <n v="3500"/>
    <s v="West"/>
    <s v="C0358"/>
    <n v="14000"/>
  </r>
  <r>
    <x v="17"/>
    <d v="2024-06-03T14:52:26"/>
    <s v="Keyboard"/>
    <n v="3"/>
    <n v="1800"/>
    <s v="East"/>
    <s v="C0106"/>
    <n v="5400"/>
  </r>
  <r>
    <x v="17"/>
    <d v="2024-06-04T02:33:42"/>
    <s v="Mobile Cover"/>
    <n v="3"/>
    <n v="1800"/>
    <s v="North"/>
    <s v="C0047"/>
    <n v="5400"/>
  </r>
  <r>
    <x v="17"/>
    <d v="2024-06-04T14:14:58"/>
    <s v="Headphones"/>
    <n v="1"/>
    <n v="3500"/>
    <s v="East"/>
    <s v="C0181"/>
    <n v="3500"/>
  </r>
  <r>
    <x v="17"/>
    <d v="2024-06-05T01:56:14"/>
    <s v="Mobile Cover"/>
    <n v="6"/>
    <n v="450"/>
    <s v="West"/>
    <s v="C0064"/>
    <n v="2700"/>
  </r>
  <r>
    <x v="17"/>
    <d v="2024-06-05T13:37:30"/>
    <s v="Mobile Cover"/>
    <n v="1"/>
    <n v="3500"/>
    <s v="West"/>
    <s v="C0246"/>
    <n v="3500"/>
  </r>
  <r>
    <x v="17"/>
    <d v="2024-06-06T01:18:46"/>
    <s v="Mobile Cover"/>
    <n v="5"/>
    <n v="150"/>
    <s v="East"/>
    <s v="C0244"/>
    <n v="750"/>
  </r>
  <r>
    <x v="17"/>
    <d v="2024-06-06T13:00:02"/>
    <s v="Wireless Mouse"/>
    <n v="5"/>
    <n v="1200"/>
    <s v="North"/>
    <s v="C0422"/>
    <n v="6000"/>
  </r>
  <r>
    <x v="17"/>
    <d v="2024-06-07T00:41:18"/>
    <s v="Smart Watch"/>
    <n v="2"/>
    <n v="3500"/>
    <s v="East"/>
    <s v="C0320"/>
    <n v="7000"/>
  </r>
  <r>
    <x v="17"/>
    <d v="2024-06-07T12:22:35"/>
    <s v="Wireless Mouse"/>
    <n v="5"/>
    <n v="450"/>
    <s v="East"/>
    <s v="C0087"/>
    <n v="2250"/>
  </r>
  <r>
    <x v="17"/>
    <d v="2024-06-08T00:03:51"/>
    <s v="Smart Watch"/>
    <n v="2"/>
    <n v="700"/>
    <s v="West"/>
    <s v="C0217"/>
    <n v="1400"/>
  </r>
  <r>
    <x v="17"/>
    <d v="2024-06-08T11:45:07"/>
    <s v="Mobile Cover"/>
    <n v="4"/>
    <n v="150"/>
    <s v="North"/>
    <s v="C0490"/>
    <n v="600"/>
  </r>
  <r>
    <x v="17"/>
    <d v="2024-06-08T23:26:23"/>
    <s v="Headphones"/>
    <n v="1"/>
    <n v="700"/>
    <s v="South"/>
    <s v="C0007"/>
    <n v="700"/>
  </r>
  <r>
    <x v="17"/>
    <d v="2024-06-09T11:07:39"/>
    <s v="Smart Watch"/>
    <n v="4"/>
    <n v="3500"/>
    <s v="North"/>
    <s v="C0278"/>
    <n v="14000"/>
  </r>
  <r>
    <x v="17"/>
    <d v="2024-06-09T22:48:55"/>
    <s v="Keyboard"/>
    <n v="5"/>
    <n v="150"/>
    <s v="East"/>
    <s v="C0337"/>
    <n v="750"/>
  </r>
  <r>
    <x v="17"/>
    <d v="2024-06-10T10:30:11"/>
    <s v="Keyboard"/>
    <n v="4"/>
    <n v="1200"/>
    <s v="East"/>
    <s v="C0210"/>
    <n v="4800"/>
  </r>
  <r>
    <x v="17"/>
    <d v="2024-06-10T22:11:27"/>
    <s v="Laptop Bag"/>
    <n v="4"/>
    <n v="3500"/>
    <s v="East"/>
    <s v="C0497"/>
    <n v="14000"/>
  </r>
  <r>
    <x v="17"/>
    <d v="2024-06-11T09:52:43"/>
    <s v="Smart Watch"/>
    <n v="4"/>
    <n v="1200"/>
    <s v="North"/>
    <s v="C0169"/>
    <n v="4800"/>
  </r>
  <r>
    <x v="17"/>
    <d v="2024-06-11T21:33:59"/>
    <s v="Headphones"/>
    <n v="5"/>
    <n v="1800"/>
    <s v="West"/>
    <s v="C0330"/>
    <n v="9000"/>
  </r>
  <r>
    <x v="17"/>
    <d v="2024-06-12T09:15:15"/>
    <s v="Wireless Mouse"/>
    <n v="6"/>
    <n v="700"/>
    <s v="East"/>
    <s v="C0138"/>
    <n v="4200"/>
  </r>
  <r>
    <x v="17"/>
    <d v="2024-06-12T20:56:31"/>
    <s v="Mobile Cover"/>
    <n v="4"/>
    <n v="150"/>
    <s v="East"/>
    <s v="C0441"/>
    <n v="600"/>
  </r>
  <r>
    <x v="17"/>
    <d v="2024-06-13T08:37:47"/>
    <s v="Laptop Bag"/>
    <n v="2"/>
    <n v="1200"/>
    <s v="North"/>
    <s v="C0391"/>
    <n v="2400"/>
  </r>
  <r>
    <x v="17"/>
    <d v="2024-06-13T20:19:03"/>
    <s v="Keyboard"/>
    <n v="5"/>
    <n v="450"/>
    <s v="South"/>
    <s v="C0496"/>
    <n v="2250"/>
  </r>
  <r>
    <x v="17"/>
    <d v="2024-06-14T08:00:19"/>
    <s v="Wireless Mouse"/>
    <n v="4"/>
    <n v="1200"/>
    <s v="South"/>
    <s v="C0381"/>
    <n v="4800"/>
  </r>
  <r>
    <x v="17"/>
    <d v="2024-06-14T19:41:35"/>
    <s v="Wireless Mouse"/>
    <n v="6"/>
    <n v="450"/>
    <s v="West"/>
    <s v="C0306"/>
    <n v="2700"/>
  </r>
  <r>
    <x v="17"/>
    <d v="2024-06-15T07:22:51"/>
    <s v="Mobile Cover"/>
    <n v="5"/>
    <n v="3500"/>
    <s v="West"/>
    <s v="C0230"/>
    <n v="17500"/>
  </r>
  <r>
    <x v="17"/>
    <d v="2024-06-15T19:04:07"/>
    <s v="Smart Watch"/>
    <n v="3"/>
    <n v="150"/>
    <s v="East"/>
    <s v="C0475"/>
    <n v="450"/>
  </r>
  <r>
    <x v="17"/>
    <d v="2024-06-16T06:45:23"/>
    <s v="Keyboard"/>
    <n v="6"/>
    <n v="1200"/>
    <s v="North"/>
    <s v="C0308"/>
    <n v="7200"/>
  </r>
  <r>
    <x v="17"/>
    <d v="2024-06-16T18:26:39"/>
    <s v="Headphones"/>
    <n v="2"/>
    <n v="1200"/>
    <s v="East"/>
    <s v="C0161"/>
    <n v="2400"/>
  </r>
  <r>
    <x v="17"/>
    <d v="2024-06-17T06:07:56"/>
    <s v="Wireless Mouse"/>
    <n v="4"/>
    <n v="150"/>
    <s v="West"/>
    <s v="C0001"/>
    <n v="600"/>
  </r>
  <r>
    <x v="17"/>
    <d v="2024-06-17T17:49:12"/>
    <s v="Mobile Cover"/>
    <n v="3"/>
    <n v="1200"/>
    <s v="North"/>
    <s v="C0236"/>
    <n v="3600"/>
  </r>
  <r>
    <x v="17"/>
    <d v="2024-06-18T05:30:28"/>
    <s v="Headphones"/>
    <n v="3"/>
    <n v="450"/>
    <s v="North"/>
    <s v="C0437"/>
    <n v="1350"/>
  </r>
  <r>
    <x v="17"/>
    <d v="2024-06-18T17:11:44"/>
    <s v="Smart Watch"/>
    <n v="5"/>
    <n v="1200"/>
    <s v="West"/>
    <s v="C0188"/>
    <n v="6000"/>
  </r>
  <r>
    <x v="17"/>
    <d v="2024-06-19T04:53:00"/>
    <s v="Keyboard"/>
    <n v="3"/>
    <n v="700"/>
    <s v="South"/>
    <s v="C0418"/>
    <n v="2100"/>
  </r>
  <r>
    <x v="17"/>
    <d v="2024-06-19T16:34:16"/>
    <s v="Smart Watch"/>
    <n v="2"/>
    <n v="3500"/>
    <s v="South"/>
    <s v="C0004"/>
    <n v="7000"/>
  </r>
  <r>
    <x v="17"/>
    <d v="2024-06-20T04:15:32"/>
    <s v="Wireless Mouse"/>
    <n v="2"/>
    <n v="1800"/>
    <s v="North"/>
    <s v="C0401"/>
    <n v="3600"/>
  </r>
  <r>
    <x v="17"/>
    <d v="2024-06-20T15:56:48"/>
    <s v="Headphones"/>
    <n v="1"/>
    <n v="450"/>
    <s v="East"/>
    <s v="C0132"/>
    <n v="450"/>
  </r>
  <r>
    <x v="17"/>
    <d v="2024-06-21T03:38:04"/>
    <s v="Headphones"/>
    <n v="2"/>
    <n v="700"/>
    <s v="South"/>
    <s v="C0427"/>
    <n v="1400"/>
  </r>
  <r>
    <x v="17"/>
    <d v="2024-06-21T15:19:20"/>
    <s v="Headphones"/>
    <n v="6"/>
    <n v="3500"/>
    <s v="East"/>
    <s v="C0218"/>
    <n v="21000"/>
  </r>
  <r>
    <x v="17"/>
    <d v="2024-06-22T03:00:36"/>
    <s v="Wireless Mouse"/>
    <n v="3"/>
    <n v="150"/>
    <s v="South"/>
    <s v="C0260"/>
    <n v="450"/>
  </r>
  <r>
    <x v="17"/>
    <d v="2024-06-22T14:41:52"/>
    <s v="Wireless Mouse"/>
    <n v="2"/>
    <n v="450"/>
    <s v="South"/>
    <s v="C0001"/>
    <n v="900"/>
  </r>
  <r>
    <x v="17"/>
    <d v="2024-06-23T02:23:08"/>
    <s v="Smart Watch"/>
    <n v="5"/>
    <n v="1800"/>
    <s v="East"/>
    <s v="C0071"/>
    <n v="9000"/>
  </r>
  <r>
    <x v="17"/>
    <d v="2024-06-23T14:04:24"/>
    <s v="Laptop Bag"/>
    <n v="1"/>
    <n v="3500"/>
    <s v="West"/>
    <s v="C0478"/>
    <n v="3500"/>
  </r>
  <r>
    <x v="17"/>
    <d v="2024-06-24T01:45:40"/>
    <s v="Smart Watch"/>
    <n v="3"/>
    <n v="1800"/>
    <s v="South"/>
    <s v="C0178"/>
    <n v="5400"/>
  </r>
  <r>
    <x v="17"/>
    <d v="2024-06-24T13:26:56"/>
    <s v="Keyboard"/>
    <n v="1"/>
    <n v="150"/>
    <s v="South"/>
    <s v="C0457"/>
    <n v="150"/>
  </r>
  <r>
    <x v="17"/>
    <d v="2024-06-25T01:08:12"/>
    <s v="Mobile Cover"/>
    <n v="3"/>
    <n v="150"/>
    <s v="East"/>
    <s v="C0189"/>
    <n v="450"/>
  </r>
  <r>
    <x v="17"/>
    <d v="2024-06-25T12:49:28"/>
    <s v="Headphones"/>
    <n v="5"/>
    <n v="450"/>
    <s v="West"/>
    <s v="C0291"/>
    <n v="2250"/>
  </r>
  <r>
    <x v="17"/>
    <d v="2024-06-26T00:30:44"/>
    <s v="Laptop Bag"/>
    <n v="1"/>
    <n v="1200"/>
    <s v="South"/>
    <s v="C0008"/>
    <n v="1200"/>
  </r>
  <r>
    <x v="17"/>
    <d v="2024-06-26T12:12:00"/>
    <s v="Mobile Cover"/>
    <n v="4"/>
    <n v="150"/>
    <s v="South"/>
    <s v="C0253"/>
    <n v="600"/>
  </r>
  <r>
    <x v="17"/>
    <d v="2024-06-26T23:53:17"/>
    <s v="Laptop Bag"/>
    <n v="6"/>
    <n v="3500"/>
    <s v="West"/>
    <s v="C0408"/>
    <n v="21000"/>
  </r>
  <r>
    <x v="17"/>
    <d v="2024-06-27T11:34:33"/>
    <s v="Smart Watch"/>
    <n v="6"/>
    <n v="1200"/>
    <s v="South"/>
    <s v="C0467"/>
    <n v="7200"/>
  </r>
  <r>
    <x v="17"/>
    <d v="2024-06-27T23:15:49"/>
    <s v="Wireless Mouse"/>
    <n v="3"/>
    <n v="700"/>
    <s v="West"/>
    <s v="C0292"/>
    <n v="2100"/>
  </r>
  <r>
    <x v="17"/>
    <d v="2024-06-28T10:57:05"/>
    <s v="Headphones"/>
    <n v="4"/>
    <n v="1800"/>
    <s v="West"/>
    <s v="C0434"/>
    <n v="7200"/>
  </r>
  <r>
    <x v="17"/>
    <d v="2024-06-28T22:38:21"/>
    <s v="Smart Watch"/>
    <n v="1"/>
    <n v="1200"/>
    <s v="East"/>
    <s v="C0244"/>
    <n v="1200"/>
  </r>
  <r>
    <x v="17"/>
    <d v="2024-06-29T10:19:37"/>
    <s v="Mobile Cover"/>
    <n v="4"/>
    <n v="1800"/>
    <s v="North"/>
    <s v="C0123"/>
    <n v="7200"/>
  </r>
  <r>
    <x v="17"/>
    <d v="2024-06-29T22:00:53"/>
    <s v="Mobile Cover"/>
    <n v="4"/>
    <n v="1200"/>
    <s v="West"/>
    <s v="C0299"/>
    <n v="4800"/>
  </r>
  <r>
    <x v="17"/>
    <d v="2024-06-30T09:42:09"/>
    <s v="Mobile Cover"/>
    <n v="1"/>
    <n v="700"/>
    <s v="East"/>
    <s v="C0283"/>
    <n v="700"/>
  </r>
  <r>
    <x v="17"/>
    <d v="2024-06-30T21:23:25"/>
    <s v="Mobile Cover"/>
    <n v="5"/>
    <n v="150"/>
    <s v="North"/>
    <s v="C0032"/>
    <n v="750"/>
  </r>
  <r>
    <x v="18"/>
    <d v="2024-07-01T09:04:41"/>
    <s v="Mobile Cover"/>
    <n v="4"/>
    <n v="700"/>
    <s v="South"/>
    <s v="C0334"/>
    <n v="2800"/>
  </r>
  <r>
    <x v="18"/>
    <d v="2024-07-01T20:45:57"/>
    <s v="Laptop Bag"/>
    <n v="4"/>
    <n v="150"/>
    <s v="North"/>
    <s v="C0377"/>
    <n v="600"/>
  </r>
  <r>
    <x v="18"/>
    <d v="2024-07-02T08:27:13"/>
    <s v="Smart Watch"/>
    <n v="5"/>
    <n v="150"/>
    <s v="West"/>
    <s v="C0146"/>
    <n v="750"/>
  </r>
  <r>
    <x v="18"/>
    <d v="2024-07-02T20:08:29"/>
    <s v="Headphones"/>
    <n v="4"/>
    <n v="1800"/>
    <s v="West"/>
    <s v="C0156"/>
    <n v="7200"/>
  </r>
  <r>
    <x v="18"/>
    <d v="2024-07-03T07:49:45"/>
    <s v="Wireless Mouse"/>
    <n v="4"/>
    <n v="3500"/>
    <s v="West"/>
    <s v="C0413"/>
    <n v="14000"/>
  </r>
  <r>
    <x v="18"/>
    <d v="2024-07-03T19:31:01"/>
    <s v="Wireless Mouse"/>
    <n v="4"/>
    <n v="700"/>
    <s v="West"/>
    <s v="C0016"/>
    <n v="2800"/>
  </r>
  <r>
    <x v="18"/>
    <d v="2024-07-04T07:12:17"/>
    <s v="Smart Watch"/>
    <n v="6"/>
    <n v="1200"/>
    <s v="West"/>
    <s v="C0355"/>
    <n v="7200"/>
  </r>
  <r>
    <x v="18"/>
    <d v="2024-07-04T18:53:33"/>
    <s v="Smart Watch"/>
    <n v="2"/>
    <n v="700"/>
    <s v="East"/>
    <s v="C0047"/>
    <n v="1400"/>
  </r>
  <r>
    <x v="18"/>
    <d v="2024-07-05T06:34:49"/>
    <s v="Wireless Mouse"/>
    <n v="5"/>
    <n v="1800"/>
    <s v="West"/>
    <s v="C0251"/>
    <n v="9000"/>
  </r>
  <r>
    <x v="18"/>
    <d v="2024-07-05T18:16:05"/>
    <s v="Wireless Mouse"/>
    <n v="4"/>
    <n v="150"/>
    <s v="East"/>
    <s v="C0187"/>
    <n v="600"/>
  </r>
  <r>
    <x v="18"/>
    <d v="2024-07-06T05:57:21"/>
    <s v="Laptop Bag"/>
    <n v="6"/>
    <n v="1800"/>
    <s v="South"/>
    <s v="C0031"/>
    <n v="10800"/>
  </r>
  <r>
    <x v="18"/>
    <d v="2024-07-06T17:38:38"/>
    <s v="Keyboard"/>
    <n v="5"/>
    <n v="450"/>
    <s v="West"/>
    <s v="C0260"/>
    <n v="2250"/>
  </r>
  <r>
    <x v="18"/>
    <d v="2024-07-07T05:19:54"/>
    <s v="Headphones"/>
    <n v="3"/>
    <n v="450"/>
    <s v="West"/>
    <s v="C0421"/>
    <n v="1350"/>
  </r>
  <r>
    <x v="18"/>
    <d v="2024-07-07T17:01:10"/>
    <s v="Mobile Cover"/>
    <n v="3"/>
    <n v="1200"/>
    <s v="North"/>
    <s v="C0017"/>
    <n v="3600"/>
  </r>
  <r>
    <x v="18"/>
    <d v="2024-07-08T04:42:26"/>
    <s v="Keyboard"/>
    <n v="4"/>
    <n v="1800"/>
    <s v="South"/>
    <s v="C0039"/>
    <n v="7200"/>
  </r>
  <r>
    <x v="18"/>
    <d v="2024-07-08T16:23:42"/>
    <s v="Smart Watch"/>
    <n v="6"/>
    <n v="1200"/>
    <s v="West"/>
    <s v="C0304"/>
    <n v="7200"/>
  </r>
  <r>
    <x v="18"/>
    <d v="2024-07-09T04:04:58"/>
    <s v="Wireless Mouse"/>
    <n v="6"/>
    <n v="1200"/>
    <s v="West"/>
    <s v="C0430"/>
    <n v="7200"/>
  </r>
  <r>
    <x v="18"/>
    <d v="2024-07-09T15:46:14"/>
    <s v="Keyboard"/>
    <n v="5"/>
    <n v="450"/>
    <s v="South"/>
    <s v="C0474"/>
    <n v="2250"/>
  </r>
  <r>
    <x v="18"/>
    <d v="2024-07-10T03:27:30"/>
    <s v="Headphones"/>
    <n v="5"/>
    <n v="1200"/>
    <s v="East"/>
    <s v="C0432"/>
    <n v="6000"/>
  </r>
  <r>
    <x v="18"/>
    <d v="2024-07-10T15:08:46"/>
    <s v="Smart Watch"/>
    <n v="6"/>
    <n v="450"/>
    <s v="West"/>
    <s v="C0039"/>
    <n v="2700"/>
  </r>
  <r>
    <x v="18"/>
    <d v="2024-07-11T02:50:02"/>
    <s v="Mobile Cover"/>
    <n v="5"/>
    <n v="150"/>
    <s v="North"/>
    <s v="C0489"/>
    <n v="750"/>
  </r>
  <r>
    <x v="18"/>
    <d v="2024-07-11T14:31:18"/>
    <s v="Mobile Cover"/>
    <n v="6"/>
    <n v="1800"/>
    <s v="West"/>
    <s v="C0132"/>
    <n v="10800"/>
  </r>
  <r>
    <x v="18"/>
    <d v="2024-07-12T02:12:34"/>
    <s v="Headphones"/>
    <n v="2"/>
    <n v="1200"/>
    <s v="North"/>
    <s v="C0030"/>
    <n v="2400"/>
  </r>
  <r>
    <x v="18"/>
    <d v="2024-07-12T13:53:50"/>
    <s v="Headphones"/>
    <n v="6"/>
    <n v="450"/>
    <s v="North"/>
    <s v="C0158"/>
    <n v="2700"/>
  </r>
  <r>
    <x v="18"/>
    <d v="2024-07-13T01:35:06"/>
    <s v="Wireless Mouse"/>
    <n v="3"/>
    <n v="700"/>
    <s v="West"/>
    <s v="C0278"/>
    <n v="2100"/>
  </r>
  <r>
    <x v="18"/>
    <d v="2024-07-13T13:16:22"/>
    <s v="Mobile Cover"/>
    <n v="5"/>
    <n v="1200"/>
    <s v="West"/>
    <s v="C0203"/>
    <n v="6000"/>
  </r>
  <r>
    <x v="18"/>
    <d v="2024-07-14T00:57:38"/>
    <s v="Smart Watch"/>
    <n v="6"/>
    <n v="3500"/>
    <s v="North"/>
    <s v="C0066"/>
    <n v="21000"/>
  </r>
  <r>
    <x v="18"/>
    <d v="2024-07-14T12:38:54"/>
    <s v="Keyboard"/>
    <n v="6"/>
    <n v="150"/>
    <s v="South"/>
    <s v="C0108"/>
    <n v="900"/>
  </r>
  <r>
    <x v="18"/>
    <d v="2024-07-15T00:20:10"/>
    <s v="Smart Watch"/>
    <n v="5"/>
    <n v="150"/>
    <s v="South"/>
    <s v="C0268"/>
    <n v="750"/>
  </r>
  <r>
    <x v="18"/>
    <d v="2024-07-15T12:01:26"/>
    <s v="Laptop Bag"/>
    <n v="2"/>
    <n v="700"/>
    <s v="West"/>
    <s v="C0222"/>
    <n v="1400"/>
  </r>
  <r>
    <x v="18"/>
    <d v="2024-07-15T23:42:43"/>
    <s v="Laptop Bag"/>
    <n v="2"/>
    <n v="450"/>
    <s v="East"/>
    <s v="C0292"/>
    <n v="900"/>
  </r>
  <r>
    <x v="18"/>
    <d v="2024-07-16T11:23:59"/>
    <s v="Headphones"/>
    <n v="5"/>
    <n v="1200"/>
    <s v="South"/>
    <s v="C0018"/>
    <n v="6000"/>
  </r>
  <r>
    <x v="18"/>
    <d v="2024-07-16T23:05:15"/>
    <s v="Wireless Mouse"/>
    <n v="1"/>
    <n v="450"/>
    <s v="West"/>
    <s v="C0090"/>
    <n v="450"/>
  </r>
  <r>
    <x v="18"/>
    <d v="2024-07-17T10:46:31"/>
    <s v="Laptop Bag"/>
    <n v="5"/>
    <n v="150"/>
    <s v="South"/>
    <s v="C0181"/>
    <n v="750"/>
  </r>
  <r>
    <x v="18"/>
    <d v="2024-07-17T22:27:47"/>
    <s v="Mobile Cover"/>
    <n v="5"/>
    <n v="450"/>
    <s v="East"/>
    <s v="C0255"/>
    <n v="2250"/>
  </r>
  <r>
    <x v="18"/>
    <d v="2024-07-18T10:09:03"/>
    <s v="Smart Watch"/>
    <n v="2"/>
    <n v="150"/>
    <s v="West"/>
    <s v="C0455"/>
    <n v="300"/>
  </r>
  <r>
    <x v="18"/>
    <d v="2024-07-18T21:50:19"/>
    <s v="Smart Watch"/>
    <n v="2"/>
    <n v="450"/>
    <s v="East"/>
    <s v="C0253"/>
    <n v="900"/>
  </r>
  <r>
    <x v="18"/>
    <d v="2024-07-19T09:31:35"/>
    <s v="Headphones"/>
    <n v="5"/>
    <n v="700"/>
    <s v="West"/>
    <s v="C0257"/>
    <n v="3500"/>
  </r>
  <r>
    <x v="18"/>
    <d v="2024-07-19T21:12:51"/>
    <s v="Keyboard"/>
    <n v="5"/>
    <n v="1800"/>
    <s v="East"/>
    <s v="C0383"/>
    <n v="9000"/>
  </r>
  <r>
    <x v="18"/>
    <d v="2024-07-20T08:54:07"/>
    <s v="Headphones"/>
    <n v="5"/>
    <n v="700"/>
    <s v="South"/>
    <s v="C0442"/>
    <n v="3500"/>
  </r>
  <r>
    <x v="18"/>
    <d v="2024-07-20T20:35:23"/>
    <s v="Keyboard"/>
    <n v="2"/>
    <n v="700"/>
    <s v="South"/>
    <s v="C0346"/>
    <n v="1400"/>
  </r>
  <r>
    <x v="18"/>
    <d v="2024-07-21T08:16:39"/>
    <s v="Headphones"/>
    <n v="5"/>
    <n v="1800"/>
    <s v="East"/>
    <s v="C0087"/>
    <n v="9000"/>
  </r>
  <r>
    <x v="18"/>
    <d v="2024-07-21T19:57:55"/>
    <s v="Headphones"/>
    <n v="5"/>
    <n v="1800"/>
    <s v="East"/>
    <s v="C0090"/>
    <n v="9000"/>
  </r>
  <r>
    <x v="18"/>
    <d v="2024-07-22T07:39:11"/>
    <s v="Headphones"/>
    <n v="4"/>
    <n v="1200"/>
    <s v="East"/>
    <s v="C0237"/>
    <n v="4800"/>
  </r>
  <r>
    <x v="18"/>
    <d v="2024-07-22T19:20:27"/>
    <s v="Keyboard"/>
    <n v="1"/>
    <n v="1200"/>
    <s v="West"/>
    <s v="C0390"/>
    <n v="1200"/>
  </r>
  <r>
    <x v="18"/>
    <d v="2024-07-23T07:01:43"/>
    <s v="Keyboard"/>
    <n v="3"/>
    <n v="700"/>
    <s v="South"/>
    <s v="C0070"/>
    <n v="2100"/>
  </r>
  <r>
    <x v="18"/>
    <d v="2024-07-23T18:42:59"/>
    <s v="Headphones"/>
    <n v="1"/>
    <n v="700"/>
    <s v="West"/>
    <s v="C0044"/>
    <n v="700"/>
  </r>
  <r>
    <x v="18"/>
    <d v="2024-07-24T06:24:15"/>
    <s v="Laptop Bag"/>
    <n v="4"/>
    <n v="150"/>
    <s v="South"/>
    <s v="C0200"/>
    <n v="600"/>
  </r>
  <r>
    <x v="18"/>
    <d v="2024-07-24T18:05:31"/>
    <s v="Wireless Mouse"/>
    <n v="3"/>
    <n v="150"/>
    <s v="North"/>
    <s v="C0152"/>
    <n v="450"/>
  </r>
  <r>
    <x v="18"/>
    <d v="2024-07-25T05:46:47"/>
    <s v="Wireless Mouse"/>
    <n v="5"/>
    <n v="1200"/>
    <s v="West"/>
    <s v="C0086"/>
    <n v="6000"/>
  </r>
  <r>
    <x v="18"/>
    <d v="2024-07-25T17:28:04"/>
    <s v="Wireless Mouse"/>
    <n v="4"/>
    <n v="3500"/>
    <s v="South"/>
    <s v="C0019"/>
    <n v="14000"/>
  </r>
  <r>
    <x v="18"/>
    <d v="2024-07-26T05:09:20"/>
    <s v="Keyboard"/>
    <n v="5"/>
    <n v="3500"/>
    <s v="South"/>
    <s v="C0101"/>
    <n v="17500"/>
  </r>
  <r>
    <x v="18"/>
    <d v="2024-07-26T16:50:36"/>
    <s v="Keyboard"/>
    <n v="2"/>
    <n v="1200"/>
    <s v="West"/>
    <s v="C0402"/>
    <n v="2400"/>
  </r>
  <r>
    <x v="18"/>
    <d v="2024-07-27T04:31:52"/>
    <s v="Laptop Bag"/>
    <n v="6"/>
    <n v="150"/>
    <s v="West"/>
    <s v="C0095"/>
    <n v="900"/>
  </r>
  <r>
    <x v="18"/>
    <d v="2024-07-27T16:13:08"/>
    <s v="Wireless Mouse"/>
    <n v="4"/>
    <n v="150"/>
    <s v="South"/>
    <s v="C0254"/>
    <n v="600"/>
  </r>
  <r>
    <x v="18"/>
    <d v="2024-07-28T03:54:24"/>
    <s v="Wireless Mouse"/>
    <n v="2"/>
    <n v="3500"/>
    <s v="West"/>
    <s v="C0357"/>
    <n v="7000"/>
  </r>
  <r>
    <x v="18"/>
    <d v="2024-07-28T15:35:40"/>
    <s v="Headphones"/>
    <n v="4"/>
    <n v="450"/>
    <s v="East"/>
    <s v="C0030"/>
    <n v="1800"/>
  </r>
  <r>
    <x v="18"/>
    <d v="2024-07-29T03:16:56"/>
    <s v="Keyboard"/>
    <n v="4"/>
    <n v="450"/>
    <s v="West"/>
    <s v="C0249"/>
    <n v="1800"/>
  </r>
  <r>
    <x v="18"/>
    <d v="2024-07-29T14:58:12"/>
    <s v="Wireless Mouse"/>
    <n v="2"/>
    <n v="150"/>
    <s v="West"/>
    <s v="C0426"/>
    <n v="300"/>
  </r>
  <r>
    <x v="18"/>
    <d v="2024-07-30T02:39:28"/>
    <s v="Smart Watch"/>
    <n v="3"/>
    <n v="450"/>
    <s v="West"/>
    <s v="C0033"/>
    <n v="1350"/>
  </r>
  <r>
    <x v="18"/>
    <d v="2024-07-30T14:20:44"/>
    <s v="Laptop Bag"/>
    <n v="1"/>
    <n v="1800"/>
    <s v="South"/>
    <s v="C0458"/>
    <n v="1800"/>
  </r>
  <r>
    <x v="18"/>
    <d v="2024-07-31T02:02:00"/>
    <s v="Smart Watch"/>
    <n v="5"/>
    <n v="1200"/>
    <s v="East"/>
    <s v="C0229"/>
    <n v="6000"/>
  </r>
  <r>
    <x v="18"/>
    <d v="2024-07-31T13:43:16"/>
    <s v="Smart Watch"/>
    <n v="4"/>
    <n v="1200"/>
    <s v="North"/>
    <s v="C0012"/>
    <n v="4800"/>
  </r>
  <r>
    <x v="19"/>
    <d v="2024-08-01T01:24:32"/>
    <s v="Laptop Bag"/>
    <n v="5"/>
    <n v="150"/>
    <s v="North"/>
    <s v="C0118"/>
    <n v="750"/>
  </r>
  <r>
    <x v="19"/>
    <d v="2024-08-01T13:05:48"/>
    <s v="Smart Watch"/>
    <n v="6"/>
    <n v="700"/>
    <s v="East"/>
    <s v="C0350"/>
    <n v="4200"/>
  </r>
  <r>
    <x v="19"/>
    <d v="2024-08-02T00:47:04"/>
    <s v="Wireless Mouse"/>
    <n v="2"/>
    <n v="3500"/>
    <s v="East"/>
    <s v="C0155"/>
    <n v="7000"/>
  </r>
  <r>
    <x v="19"/>
    <d v="2024-08-02T12:28:20"/>
    <s v="Keyboard"/>
    <n v="5"/>
    <n v="150"/>
    <s v="East"/>
    <s v="C0423"/>
    <n v="750"/>
  </r>
  <r>
    <x v="19"/>
    <d v="2024-08-03T00:09:36"/>
    <s v="Laptop Bag"/>
    <n v="2"/>
    <n v="450"/>
    <s v="South"/>
    <s v="C0393"/>
    <n v="900"/>
  </r>
  <r>
    <x v="19"/>
    <d v="2024-08-03T11:50:52"/>
    <s v="Headphones"/>
    <n v="5"/>
    <n v="3500"/>
    <s v="North"/>
    <s v="C0246"/>
    <n v="17500"/>
  </r>
  <r>
    <x v="19"/>
    <d v="2024-08-03T23:32:08"/>
    <s v="Smart Watch"/>
    <n v="1"/>
    <n v="700"/>
    <s v="East"/>
    <s v="C0405"/>
    <n v="700"/>
  </r>
  <r>
    <x v="19"/>
    <d v="2024-08-04T11:13:25"/>
    <s v="Laptop Bag"/>
    <n v="1"/>
    <n v="450"/>
    <s v="South"/>
    <s v="C0332"/>
    <n v="450"/>
  </r>
  <r>
    <x v="19"/>
    <d v="2024-08-04T22:54:41"/>
    <s v="Mobile Cover"/>
    <n v="1"/>
    <n v="1800"/>
    <s v="North"/>
    <s v="C0247"/>
    <n v="1800"/>
  </r>
  <r>
    <x v="19"/>
    <d v="2024-08-05T10:35:57"/>
    <s v="Mobile Cover"/>
    <n v="1"/>
    <n v="450"/>
    <s v="West"/>
    <s v="C0029"/>
    <n v="450"/>
  </r>
  <r>
    <x v="19"/>
    <d v="2024-08-05T22:17:13"/>
    <s v="Keyboard"/>
    <n v="1"/>
    <n v="1800"/>
    <s v="South"/>
    <s v="C0161"/>
    <n v="1800"/>
  </r>
  <r>
    <x v="19"/>
    <d v="2024-08-06T09:58:29"/>
    <s v="Wireless Mouse"/>
    <n v="1"/>
    <n v="3500"/>
    <s v="North"/>
    <s v="C0235"/>
    <n v="3500"/>
  </r>
  <r>
    <x v="19"/>
    <d v="2024-08-06T21:39:45"/>
    <s v="Keyboard"/>
    <n v="2"/>
    <n v="1800"/>
    <s v="South"/>
    <s v="C0190"/>
    <n v="3600"/>
  </r>
  <r>
    <x v="19"/>
    <d v="2024-08-07T09:21:01"/>
    <s v="Keyboard"/>
    <n v="4"/>
    <n v="3500"/>
    <s v="North"/>
    <s v="C0117"/>
    <n v="14000"/>
  </r>
  <r>
    <x v="19"/>
    <d v="2024-08-07T21:02:17"/>
    <s v="Keyboard"/>
    <n v="5"/>
    <n v="3500"/>
    <s v="North"/>
    <s v="C0271"/>
    <n v="17500"/>
  </r>
  <r>
    <x v="19"/>
    <d v="2024-08-08T08:43:33"/>
    <s v="Keyboard"/>
    <n v="1"/>
    <n v="3500"/>
    <s v="West"/>
    <s v="C0258"/>
    <n v="3500"/>
  </r>
  <r>
    <x v="19"/>
    <d v="2024-08-08T20:24:49"/>
    <s v="Headphones"/>
    <n v="2"/>
    <n v="3500"/>
    <s v="South"/>
    <s v="C0180"/>
    <n v="7000"/>
  </r>
  <r>
    <x v="19"/>
    <d v="2024-08-09T08:06:05"/>
    <s v="Headphones"/>
    <n v="2"/>
    <n v="3500"/>
    <s v="East"/>
    <s v="C0487"/>
    <n v="7000"/>
  </r>
  <r>
    <x v="19"/>
    <d v="2024-08-09T19:47:21"/>
    <s v="Laptop Bag"/>
    <n v="2"/>
    <n v="450"/>
    <s v="West"/>
    <s v="C0373"/>
    <n v="900"/>
  </r>
  <r>
    <x v="19"/>
    <d v="2024-08-10T07:28:37"/>
    <s v="Mobile Cover"/>
    <n v="4"/>
    <n v="3500"/>
    <s v="West"/>
    <s v="C0172"/>
    <n v="14000"/>
  </r>
  <r>
    <x v="19"/>
    <d v="2024-08-10T19:09:53"/>
    <s v="Keyboard"/>
    <n v="5"/>
    <n v="450"/>
    <s v="North"/>
    <s v="C0438"/>
    <n v="2250"/>
  </r>
  <r>
    <x v="19"/>
    <d v="2024-08-11T06:51:09"/>
    <s v="Laptop Bag"/>
    <n v="4"/>
    <n v="3500"/>
    <s v="East"/>
    <s v="C0274"/>
    <n v="14000"/>
  </r>
  <r>
    <x v="19"/>
    <d v="2024-08-11T18:32:25"/>
    <s v="Mobile Cover"/>
    <n v="3"/>
    <n v="1800"/>
    <s v="South"/>
    <s v="C0259"/>
    <n v="5400"/>
  </r>
  <r>
    <x v="19"/>
    <d v="2024-08-12T06:13:41"/>
    <s v="Smart Watch"/>
    <n v="2"/>
    <n v="3500"/>
    <s v="East"/>
    <s v="C0135"/>
    <n v="7000"/>
  </r>
  <r>
    <x v="19"/>
    <d v="2024-08-12T17:54:57"/>
    <s v="Wireless Mouse"/>
    <n v="3"/>
    <n v="700"/>
    <s v="East"/>
    <s v="C0171"/>
    <n v="2100"/>
  </r>
  <r>
    <x v="19"/>
    <d v="2024-08-13T05:36:13"/>
    <s v="Headphones"/>
    <n v="6"/>
    <n v="3500"/>
    <s v="East"/>
    <s v="C0210"/>
    <n v="21000"/>
  </r>
  <r>
    <x v="19"/>
    <d v="2024-08-13T17:17:29"/>
    <s v="Smart Watch"/>
    <n v="1"/>
    <n v="3500"/>
    <s v="East"/>
    <s v="C0236"/>
    <n v="3500"/>
  </r>
  <r>
    <x v="19"/>
    <d v="2024-08-14T04:58:46"/>
    <s v="Mobile Cover"/>
    <n v="1"/>
    <n v="1800"/>
    <s v="East"/>
    <s v="C0422"/>
    <n v="1800"/>
  </r>
  <r>
    <x v="19"/>
    <d v="2024-08-14T16:40:02"/>
    <s v="Smart Watch"/>
    <n v="4"/>
    <n v="1200"/>
    <s v="North"/>
    <s v="C0421"/>
    <n v="4800"/>
  </r>
  <r>
    <x v="19"/>
    <d v="2024-08-15T04:21:18"/>
    <s v="Wireless Mouse"/>
    <n v="5"/>
    <n v="1800"/>
    <s v="North"/>
    <s v="C0186"/>
    <n v="9000"/>
  </r>
  <r>
    <x v="19"/>
    <d v="2024-08-15T16:02:34"/>
    <s v="Mobile Cover"/>
    <n v="3"/>
    <n v="700"/>
    <s v="West"/>
    <s v="C0417"/>
    <n v="2100"/>
  </r>
  <r>
    <x v="19"/>
    <d v="2024-08-16T03:43:50"/>
    <s v="Smart Watch"/>
    <n v="5"/>
    <n v="1200"/>
    <s v="North"/>
    <s v="C0364"/>
    <n v="6000"/>
  </r>
  <r>
    <x v="19"/>
    <d v="2024-08-16T15:25:06"/>
    <s v="Headphones"/>
    <n v="4"/>
    <n v="150"/>
    <s v="West"/>
    <s v="C0443"/>
    <n v="600"/>
  </r>
  <r>
    <x v="19"/>
    <d v="2024-08-17T03:06:22"/>
    <s v="Headphones"/>
    <n v="1"/>
    <n v="150"/>
    <s v="West"/>
    <s v="C0095"/>
    <n v="150"/>
  </r>
  <r>
    <x v="19"/>
    <d v="2024-08-17T14:47:38"/>
    <s v="Laptop Bag"/>
    <n v="5"/>
    <n v="700"/>
    <s v="South"/>
    <s v="C0378"/>
    <n v="3500"/>
  </r>
  <r>
    <x v="19"/>
    <d v="2024-08-18T02:28:54"/>
    <s v="Smart Watch"/>
    <n v="5"/>
    <n v="1800"/>
    <s v="East"/>
    <s v="C0011"/>
    <n v="9000"/>
  </r>
  <r>
    <x v="19"/>
    <d v="2024-08-18T14:10:10"/>
    <s v="Keyboard"/>
    <n v="1"/>
    <n v="450"/>
    <s v="North"/>
    <s v="C0068"/>
    <n v="450"/>
  </r>
  <r>
    <x v="19"/>
    <d v="2024-08-19T01:51:26"/>
    <s v="Smart Watch"/>
    <n v="3"/>
    <n v="700"/>
    <s v="South"/>
    <s v="C0379"/>
    <n v="2100"/>
  </r>
  <r>
    <x v="19"/>
    <d v="2024-08-19T13:32:42"/>
    <s v="Mobile Cover"/>
    <n v="1"/>
    <n v="1200"/>
    <s v="North"/>
    <s v="C0210"/>
    <n v="1200"/>
  </r>
  <r>
    <x v="19"/>
    <d v="2024-08-20T01:13:58"/>
    <s v="Mobile Cover"/>
    <n v="5"/>
    <n v="1200"/>
    <s v="West"/>
    <s v="C0196"/>
    <n v="6000"/>
  </r>
  <r>
    <x v="19"/>
    <d v="2024-08-20T12:55:14"/>
    <s v="Smart Watch"/>
    <n v="3"/>
    <n v="3500"/>
    <s v="North"/>
    <s v="C0369"/>
    <n v="10500"/>
  </r>
  <r>
    <x v="19"/>
    <d v="2024-08-21T00:36:30"/>
    <s v="Wireless Mouse"/>
    <n v="3"/>
    <n v="150"/>
    <s v="East"/>
    <s v="C0098"/>
    <n v="450"/>
  </r>
  <r>
    <x v="19"/>
    <d v="2024-08-21T12:17:46"/>
    <s v="Headphones"/>
    <n v="1"/>
    <n v="1200"/>
    <s v="West"/>
    <s v="C0093"/>
    <n v="1200"/>
  </r>
  <r>
    <x v="19"/>
    <d v="2024-08-21T23:59:02"/>
    <s v="Mobile Cover"/>
    <n v="5"/>
    <n v="700"/>
    <s v="West"/>
    <s v="C0472"/>
    <n v="3500"/>
  </r>
  <r>
    <x v="19"/>
    <d v="2024-08-22T11:40:18"/>
    <s v="Headphones"/>
    <n v="4"/>
    <n v="1200"/>
    <s v="South"/>
    <s v="C0022"/>
    <n v="4800"/>
  </r>
  <r>
    <x v="19"/>
    <d v="2024-08-22T23:21:34"/>
    <s v="Mobile Cover"/>
    <n v="5"/>
    <n v="700"/>
    <s v="East"/>
    <s v="C0450"/>
    <n v="3500"/>
  </r>
  <r>
    <x v="19"/>
    <d v="2024-08-23T11:02:51"/>
    <s v="Laptop Bag"/>
    <n v="2"/>
    <n v="450"/>
    <s v="West"/>
    <s v="C0172"/>
    <n v="900"/>
  </r>
  <r>
    <x v="19"/>
    <d v="2024-08-23T22:44:07"/>
    <s v="Keyboard"/>
    <n v="6"/>
    <n v="3500"/>
    <s v="East"/>
    <s v="C0383"/>
    <n v="21000"/>
  </r>
  <r>
    <x v="19"/>
    <d v="2024-08-24T10:25:23"/>
    <s v="Mobile Cover"/>
    <n v="4"/>
    <n v="150"/>
    <s v="North"/>
    <s v="C0134"/>
    <n v="600"/>
  </r>
  <r>
    <x v="19"/>
    <d v="2024-08-24T22:06:39"/>
    <s v="Headphones"/>
    <n v="3"/>
    <n v="1200"/>
    <s v="East"/>
    <s v="C0426"/>
    <n v="3600"/>
  </r>
  <r>
    <x v="19"/>
    <d v="2024-08-25T09:47:55"/>
    <s v="Laptop Bag"/>
    <n v="4"/>
    <n v="700"/>
    <s v="West"/>
    <s v="C0025"/>
    <n v="2800"/>
  </r>
  <r>
    <x v="19"/>
    <d v="2024-08-25T21:29:11"/>
    <s v="Mobile Cover"/>
    <n v="3"/>
    <n v="1800"/>
    <s v="South"/>
    <s v="C0185"/>
    <n v="5400"/>
  </r>
  <r>
    <x v="19"/>
    <d v="2024-08-26T09:10:27"/>
    <s v="Wireless Mouse"/>
    <n v="3"/>
    <n v="150"/>
    <s v="West"/>
    <s v="C0085"/>
    <n v="450"/>
  </r>
  <r>
    <x v="19"/>
    <d v="2024-08-26T20:51:43"/>
    <s v="Keyboard"/>
    <n v="4"/>
    <n v="450"/>
    <s v="East"/>
    <s v="C0055"/>
    <n v="1800"/>
  </r>
  <r>
    <x v="19"/>
    <d v="2024-08-27T08:32:59"/>
    <s v="Mobile Cover"/>
    <n v="3"/>
    <n v="700"/>
    <s v="East"/>
    <s v="C0251"/>
    <n v="2100"/>
  </r>
  <r>
    <x v="19"/>
    <d v="2024-08-27T20:14:15"/>
    <s v="Laptop Bag"/>
    <n v="3"/>
    <n v="3500"/>
    <s v="West"/>
    <s v="C0144"/>
    <n v="10500"/>
  </r>
  <r>
    <x v="19"/>
    <d v="2024-08-28T07:55:31"/>
    <s v="Wireless Mouse"/>
    <n v="2"/>
    <n v="3500"/>
    <s v="East"/>
    <s v="C0351"/>
    <n v="7000"/>
  </r>
  <r>
    <x v="19"/>
    <d v="2024-08-28T19:36:47"/>
    <s v="Smart Watch"/>
    <n v="5"/>
    <n v="450"/>
    <s v="North"/>
    <s v="C0398"/>
    <n v="2250"/>
  </r>
  <r>
    <x v="19"/>
    <d v="2024-08-29T07:18:03"/>
    <s v="Laptop Bag"/>
    <n v="5"/>
    <n v="450"/>
    <s v="West"/>
    <s v="C0167"/>
    <n v="2250"/>
  </r>
  <r>
    <x v="19"/>
    <d v="2024-08-29T18:59:19"/>
    <s v="Laptop Bag"/>
    <n v="6"/>
    <n v="3500"/>
    <s v="South"/>
    <s v="C0412"/>
    <n v="21000"/>
  </r>
  <r>
    <x v="19"/>
    <d v="2024-08-30T06:40:35"/>
    <s v="Wireless Mouse"/>
    <n v="6"/>
    <n v="1200"/>
    <s v="West"/>
    <s v="C0224"/>
    <n v="7200"/>
  </r>
  <r>
    <x v="19"/>
    <d v="2024-08-30T18:21:51"/>
    <s v="Laptop Bag"/>
    <n v="2"/>
    <n v="1200"/>
    <s v="North"/>
    <s v="C0220"/>
    <n v="2400"/>
  </r>
  <r>
    <x v="19"/>
    <d v="2024-08-31T06:03:07"/>
    <s v="Wireless Mouse"/>
    <n v="6"/>
    <n v="700"/>
    <s v="North"/>
    <s v="C0179"/>
    <n v="4200"/>
  </r>
  <r>
    <x v="19"/>
    <d v="2024-08-31T17:44:23"/>
    <s v="Mobile Cover"/>
    <n v="4"/>
    <n v="1800"/>
    <s v="North"/>
    <s v="C0119"/>
    <n v="7200"/>
  </r>
  <r>
    <x v="20"/>
    <d v="2024-09-01T05:25:39"/>
    <s v="Wireless Mouse"/>
    <n v="1"/>
    <n v="700"/>
    <s v="North"/>
    <s v="C0433"/>
    <n v="700"/>
  </r>
  <r>
    <x v="20"/>
    <d v="2024-09-01T17:06:55"/>
    <s v="Wireless Mouse"/>
    <n v="1"/>
    <n v="1800"/>
    <s v="North"/>
    <s v="C0265"/>
    <n v="1800"/>
  </r>
  <r>
    <x v="20"/>
    <d v="2024-09-02T04:48:12"/>
    <s v="Keyboard"/>
    <n v="1"/>
    <n v="450"/>
    <s v="South"/>
    <s v="C0442"/>
    <n v="450"/>
  </r>
  <r>
    <x v="20"/>
    <d v="2024-09-02T16:29:28"/>
    <s v="Wireless Mouse"/>
    <n v="2"/>
    <n v="150"/>
    <s v="East"/>
    <s v="C0429"/>
    <n v="300"/>
  </r>
  <r>
    <x v="20"/>
    <d v="2024-09-03T04:10:44"/>
    <s v="Wireless Mouse"/>
    <n v="2"/>
    <n v="700"/>
    <s v="North"/>
    <s v="C0150"/>
    <n v="1400"/>
  </r>
  <r>
    <x v="20"/>
    <d v="2024-09-03T15:52:00"/>
    <s v="Smart Watch"/>
    <n v="3"/>
    <n v="700"/>
    <s v="North"/>
    <s v="C0416"/>
    <n v="2100"/>
  </r>
  <r>
    <x v="20"/>
    <d v="2024-09-04T03:33:16"/>
    <s v="Mobile Cover"/>
    <n v="1"/>
    <n v="1800"/>
    <s v="West"/>
    <s v="C0453"/>
    <n v="1800"/>
  </r>
  <r>
    <x v="20"/>
    <d v="2024-09-04T15:14:32"/>
    <s v="Keyboard"/>
    <n v="4"/>
    <n v="450"/>
    <s v="South"/>
    <s v="C0215"/>
    <n v="1800"/>
  </r>
  <r>
    <x v="20"/>
    <d v="2024-09-05T02:55:48"/>
    <s v="Smart Watch"/>
    <n v="6"/>
    <n v="450"/>
    <s v="South"/>
    <s v="C0197"/>
    <n v="2700"/>
  </r>
  <r>
    <x v="20"/>
    <d v="2024-09-05T14:37:04"/>
    <s v="Headphones"/>
    <n v="4"/>
    <n v="1800"/>
    <s v="East"/>
    <s v="C0042"/>
    <n v="7200"/>
  </r>
  <r>
    <x v="20"/>
    <d v="2024-09-06T02:18:20"/>
    <s v="Mobile Cover"/>
    <n v="6"/>
    <n v="450"/>
    <s v="South"/>
    <s v="C0053"/>
    <n v="2700"/>
  </r>
  <r>
    <x v="20"/>
    <d v="2024-09-06T13:59:36"/>
    <s v="Mobile Cover"/>
    <n v="1"/>
    <n v="3500"/>
    <s v="West"/>
    <s v="C0480"/>
    <n v="3500"/>
  </r>
  <r>
    <x v="20"/>
    <d v="2024-09-07T01:40:52"/>
    <s v="Headphones"/>
    <n v="1"/>
    <n v="1200"/>
    <s v="West"/>
    <s v="C0443"/>
    <n v="1200"/>
  </r>
  <r>
    <x v="20"/>
    <d v="2024-09-07T13:22:08"/>
    <s v="Wireless Mouse"/>
    <n v="1"/>
    <n v="3500"/>
    <s v="East"/>
    <s v="C0330"/>
    <n v="3500"/>
  </r>
  <r>
    <x v="20"/>
    <d v="2024-09-08T01:03:24"/>
    <s v="Smart Watch"/>
    <n v="2"/>
    <n v="150"/>
    <s v="West"/>
    <s v="C0251"/>
    <n v="300"/>
  </r>
  <r>
    <x v="20"/>
    <d v="2024-09-08T12:44:40"/>
    <s v="Laptop Bag"/>
    <n v="6"/>
    <n v="700"/>
    <s v="North"/>
    <s v="C0295"/>
    <n v="4200"/>
  </r>
  <r>
    <x v="20"/>
    <d v="2024-09-09T00:25:56"/>
    <s v="Keyboard"/>
    <n v="2"/>
    <n v="150"/>
    <s v="North"/>
    <s v="C0378"/>
    <n v="300"/>
  </r>
  <r>
    <x v="20"/>
    <d v="2024-09-09T12:07:12"/>
    <s v="Laptop Bag"/>
    <n v="2"/>
    <n v="700"/>
    <s v="West"/>
    <s v="C0271"/>
    <n v="1400"/>
  </r>
  <r>
    <x v="20"/>
    <d v="2024-09-09T23:48:28"/>
    <s v="Headphones"/>
    <n v="5"/>
    <n v="1200"/>
    <s v="East"/>
    <s v="C0455"/>
    <n v="6000"/>
  </r>
  <r>
    <x v="20"/>
    <d v="2024-09-10T11:29:44"/>
    <s v="Mobile Cover"/>
    <n v="4"/>
    <n v="450"/>
    <s v="South"/>
    <s v="C0413"/>
    <n v="1800"/>
  </r>
  <r>
    <x v="20"/>
    <d v="2024-09-10T23:11:00"/>
    <s v="Mobile Cover"/>
    <n v="4"/>
    <n v="3500"/>
    <s v="East"/>
    <s v="C0123"/>
    <n v="14000"/>
  </r>
  <r>
    <x v="20"/>
    <d v="2024-09-11T10:52:16"/>
    <s v="Keyboard"/>
    <n v="3"/>
    <n v="1800"/>
    <s v="South"/>
    <s v="C0367"/>
    <n v="5400"/>
  </r>
  <r>
    <x v="20"/>
    <d v="2024-09-11T22:33:33"/>
    <s v="Mobile Cover"/>
    <n v="2"/>
    <n v="3500"/>
    <s v="West"/>
    <s v="C0387"/>
    <n v="7000"/>
  </r>
  <r>
    <x v="20"/>
    <d v="2024-09-12T10:14:49"/>
    <s v="Mobile Cover"/>
    <n v="6"/>
    <n v="1200"/>
    <s v="West"/>
    <s v="C0339"/>
    <n v="7200"/>
  </r>
  <r>
    <x v="20"/>
    <d v="2024-09-12T21:56:05"/>
    <s v="Keyboard"/>
    <n v="5"/>
    <n v="150"/>
    <s v="North"/>
    <s v="C0266"/>
    <n v="750"/>
  </r>
  <r>
    <x v="20"/>
    <d v="2024-09-13T09:37:21"/>
    <s v="Smart Watch"/>
    <n v="5"/>
    <n v="1800"/>
    <s v="South"/>
    <s v="C0348"/>
    <n v="9000"/>
  </r>
  <r>
    <x v="20"/>
    <d v="2024-09-13T21:18:37"/>
    <s v="Smart Watch"/>
    <n v="4"/>
    <n v="450"/>
    <s v="East"/>
    <s v="C0029"/>
    <n v="1800"/>
  </r>
  <r>
    <x v="20"/>
    <d v="2024-09-14T08:59:53"/>
    <s v="Keyboard"/>
    <n v="2"/>
    <n v="1200"/>
    <s v="West"/>
    <s v="C0463"/>
    <n v="2400"/>
  </r>
  <r>
    <x v="20"/>
    <d v="2024-09-14T20:41:09"/>
    <s v="Headphones"/>
    <n v="3"/>
    <n v="1800"/>
    <s v="East"/>
    <s v="C0035"/>
    <n v="5400"/>
  </r>
  <r>
    <x v="20"/>
    <d v="2024-09-15T08:22:25"/>
    <s v="Mobile Cover"/>
    <n v="2"/>
    <n v="1200"/>
    <s v="North"/>
    <s v="C0006"/>
    <n v="2400"/>
  </r>
  <r>
    <x v="20"/>
    <d v="2024-09-15T20:03:41"/>
    <s v="Mobile Cover"/>
    <n v="1"/>
    <n v="1200"/>
    <s v="South"/>
    <s v="C0396"/>
    <n v="1200"/>
  </r>
  <r>
    <x v="20"/>
    <d v="2024-09-16T07:44:57"/>
    <s v="Headphones"/>
    <n v="2"/>
    <n v="450"/>
    <s v="South"/>
    <s v="C0111"/>
    <n v="900"/>
  </r>
  <r>
    <x v="20"/>
    <d v="2024-09-16T19:26:13"/>
    <s v="Smart Watch"/>
    <n v="1"/>
    <n v="700"/>
    <s v="West"/>
    <s v="C0294"/>
    <n v="700"/>
  </r>
  <r>
    <x v="20"/>
    <d v="2024-09-17T07:07:29"/>
    <s v="Wireless Mouse"/>
    <n v="1"/>
    <n v="1800"/>
    <s v="South"/>
    <s v="C0077"/>
    <n v="1800"/>
  </r>
  <r>
    <x v="20"/>
    <d v="2024-09-17T18:48:45"/>
    <s v="Wireless Mouse"/>
    <n v="3"/>
    <n v="450"/>
    <s v="West"/>
    <s v="C0349"/>
    <n v="1350"/>
  </r>
  <r>
    <x v="20"/>
    <d v="2024-09-18T06:30:01"/>
    <s v="Wireless Mouse"/>
    <n v="6"/>
    <n v="1200"/>
    <s v="North"/>
    <s v="C0147"/>
    <n v="7200"/>
  </r>
  <r>
    <x v="20"/>
    <d v="2024-09-18T18:11:17"/>
    <s v="Smart Watch"/>
    <n v="4"/>
    <n v="450"/>
    <s v="South"/>
    <s v="C0067"/>
    <n v="1800"/>
  </r>
  <r>
    <x v="20"/>
    <d v="2024-09-19T05:52:33"/>
    <s v="Smart Watch"/>
    <n v="2"/>
    <n v="700"/>
    <s v="West"/>
    <s v="C0392"/>
    <n v="1400"/>
  </r>
  <r>
    <x v="20"/>
    <d v="2024-09-19T17:33:49"/>
    <s v="Headphones"/>
    <n v="1"/>
    <n v="3500"/>
    <s v="East"/>
    <s v="C0008"/>
    <n v="3500"/>
  </r>
  <r>
    <x v="20"/>
    <d v="2024-09-20T05:15:05"/>
    <s v="Mobile Cover"/>
    <n v="2"/>
    <n v="1800"/>
    <s v="West"/>
    <s v="C0122"/>
    <n v="3600"/>
  </r>
  <r>
    <x v="20"/>
    <d v="2024-09-20T16:56:21"/>
    <s v="Headphones"/>
    <n v="6"/>
    <n v="700"/>
    <s v="South"/>
    <s v="C0340"/>
    <n v="4200"/>
  </r>
  <r>
    <x v="20"/>
    <d v="2024-09-21T04:37:38"/>
    <s v="Headphones"/>
    <n v="4"/>
    <n v="150"/>
    <s v="North"/>
    <s v="C0175"/>
    <n v="600"/>
  </r>
  <r>
    <x v="20"/>
    <d v="2024-09-21T16:18:54"/>
    <s v="Smart Watch"/>
    <n v="6"/>
    <n v="1800"/>
    <s v="South"/>
    <s v="C0388"/>
    <n v="10800"/>
  </r>
  <r>
    <x v="20"/>
    <d v="2024-09-22T04:00:10"/>
    <s v="Wireless Mouse"/>
    <n v="4"/>
    <n v="700"/>
    <s v="South"/>
    <s v="C0179"/>
    <n v="2800"/>
  </r>
  <r>
    <x v="20"/>
    <d v="2024-09-22T15:41:26"/>
    <s v="Laptop Bag"/>
    <n v="5"/>
    <n v="1200"/>
    <s v="West"/>
    <s v="C0085"/>
    <n v="6000"/>
  </r>
  <r>
    <x v="20"/>
    <d v="2024-09-23T03:22:42"/>
    <s v="Mobile Cover"/>
    <n v="4"/>
    <n v="1800"/>
    <s v="East"/>
    <s v="C0451"/>
    <n v="7200"/>
  </r>
  <r>
    <x v="20"/>
    <d v="2024-09-23T15:03:58"/>
    <s v="Smart Watch"/>
    <n v="3"/>
    <n v="1800"/>
    <s v="South"/>
    <s v="C0045"/>
    <n v="5400"/>
  </r>
  <r>
    <x v="20"/>
    <d v="2024-09-24T02:45:14"/>
    <s v="Wireless Mouse"/>
    <n v="6"/>
    <n v="450"/>
    <s v="East"/>
    <s v="C0136"/>
    <n v="2700"/>
  </r>
  <r>
    <x v="20"/>
    <d v="2024-09-24T14:26:30"/>
    <s v="Laptop Bag"/>
    <n v="1"/>
    <n v="1200"/>
    <s v="West"/>
    <s v="C0343"/>
    <n v="1200"/>
  </r>
  <r>
    <x v="20"/>
    <d v="2024-09-25T02:07:46"/>
    <s v="Laptop Bag"/>
    <n v="5"/>
    <n v="150"/>
    <s v="East"/>
    <s v="C0016"/>
    <n v="750"/>
  </r>
  <r>
    <x v="20"/>
    <d v="2024-09-25T13:49:02"/>
    <s v="Smart Watch"/>
    <n v="3"/>
    <n v="3500"/>
    <s v="West"/>
    <s v="C0333"/>
    <n v="10500"/>
  </r>
  <r>
    <x v="20"/>
    <d v="2024-09-26T01:30:18"/>
    <s v="Keyboard"/>
    <n v="2"/>
    <n v="700"/>
    <s v="North"/>
    <s v="C0195"/>
    <n v="1400"/>
  </r>
  <r>
    <x v="20"/>
    <d v="2024-09-26T13:11:34"/>
    <s v="Mobile Cover"/>
    <n v="6"/>
    <n v="450"/>
    <s v="East"/>
    <s v="C0496"/>
    <n v="2700"/>
  </r>
  <r>
    <x v="20"/>
    <d v="2024-09-27T00:52:50"/>
    <s v="Laptop Bag"/>
    <n v="1"/>
    <n v="700"/>
    <s v="East"/>
    <s v="C0009"/>
    <n v="700"/>
  </r>
  <r>
    <x v="20"/>
    <d v="2024-09-27T12:34:06"/>
    <s v="Smart Watch"/>
    <n v="4"/>
    <n v="150"/>
    <s v="North"/>
    <s v="C0316"/>
    <n v="600"/>
  </r>
  <r>
    <x v="20"/>
    <d v="2024-09-28T00:15:22"/>
    <s v="Smart Watch"/>
    <n v="1"/>
    <n v="150"/>
    <s v="East"/>
    <s v="C0334"/>
    <n v="150"/>
  </r>
  <r>
    <x v="20"/>
    <d v="2024-09-28T11:56:38"/>
    <s v="Wireless Mouse"/>
    <n v="2"/>
    <n v="1800"/>
    <s v="North"/>
    <s v="C0333"/>
    <n v="3600"/>
  </r>
  <r>
    <x v="20"/>
    <d v="2024-09-28T23:37:54"/>
    <s v="Keyboard"/>
    <n v="5"/>
    <n v="150"/>
    <s v="South"/>
    <s v="C0327"/>
    <n v="750"/>
  </r>
  <r>
    <x v="20"/>
    <d v="2024-09-29T11:19:10"/>
    <s v="Mobile Cover"/>
    <n v="5"/>
    <n v="700"/>
    <s v="West"/>
    <s v="C0015"/>
    <n v="3500"/>
  </r>
  <r>
    <x v="20"/>
    <d v="2024-09-29T23:00:26"/>
    <s v="Headphones"/>
    <n v="6"/>
    <n v="1200"/>
    <s v="North"/>
    <s v="C0327"/>
    <n v="7200"/>
  </r>
  <r>
    <x v="20"/>
    <d v="2024-09-30T10:41:42"/>
    <s v="Wireless Mouse"/>
    <n v="5"/>
    <n v="1200"/>
    <s v="East"/>
    <s v="C0102"/>
    <n v="6000"/>
  </r>
  <r>
    <x v="20"/>
    <d v="2024-09-30T22:22:59"/>
    <s v="Laptop Bag"/>
    <n v="6"/>
    <n v="1800"/>
    <s v="North"/>
    <s v="C0226"/>
    <n v="10800"/>
  </r>
  <r>
    <x v="21"/>
    <d v="2024-10-01T10:04:15"/>
    <s v="Laptop Bag"/>
    <n v="6"/>
    <n v="3500"/>
    <s v="East"/>
    <s v="C0425"/>
    <n v="21000"/>
  </r>
  <r>
    <x v="21"/>
    <d v="2024-10-01T21:45:31"/>
    <s v="Wireless Mouse"/>
    <n v="6"/>
    <n v="700"/>
    <s v="South"/>
    <s v="C0278"/>
    <n v="4200"/>
  </r>
  <r>
    <x v="21"/>
    <d v="2024-10-02T09:26:47"/>
    <s v="Smart Watch"/>
    <n v="4"/>
    <n v="700"/>
    <s v="North"/>
    <s v="C0408"/>
    <n v="2800"/>
  </r>
  <r>
    <x v="21"/>
    <d v="2024-10-02T21:08:03"/>
    <s v="Laptop Bag"/>
    <n v="3"/>
    <n v="150"/>
    <s v="South"/>
    <s v="C0113"/>
    <n v="450"/>
  </r>
  <r>
    <x v="21"/>
    <d v="2024-10-03T08:49:19"/>
    <s v="Keyboard"/>
    <n v="6"/>
    <n v="700"/>
    <s v="West"/>
    <s v="C0485"/>
    <n v="4200"/>
  </r>
  <r>
    <x v="21"/>
    <d v="2024-10-03T20:30:35"/>
    <s v="Mobile Cover"/>
    <n v="6"/>
    <n v="450"/>
    <s v="East"/>
    <s v="C0428"/>
    <n v="2700"/>
  </r>
  <r>
    <x v="21"/>
    <d v="2024-10-04T08:11:51"/>
    <s v="Keyboard"/>
    <n v="3"/>
    <n v="3500"/>
    <s v="East"/>
    <s v="C0001"/>
    <n v="10500"/>
  </r>
  <r>
    <x v="21"/>
    <d v="2024-10-04T19:53:07"/>
    <s v="Laptop Bag"/>
    <n v="1"/>
    <n v="150"/>
    <s v="South"/>
    <s v="C0266"/>
    <n v="150"/>
  </r>
  <r>
    <x v="21"/>
    <d v="2024-10-05T07:34:23"/>
    <s v="Headphones"/>
    <n v="6"/>
    <n v="450"/>
    <s v="West"/>
    <s v="C0491"/>
    <n v="2700"/>
  </r>
  <r>
    <x v="21"/>
    <d v="2024-10-05T19:15:39"/>
    <s v="Mobile Cover"/>
    <n v="4"/>
    <n v="1800"/>
    <s v="North"/>
    <s v="C0208"/>
    <n v="7200"/>
  </r>
  <r>
    <x v="21"/>
    <d v="2024-10-06T06:56:55"/>
    <s v="Mobile Cover"/>
    <n v="5"/>
    <n v="1200"/>
    <s v="North"/>
    <s v="C0110"/>
    <n v="6000"/>
  </r>
  <r>
    <x v="21"/>
    <d v="2024-10-06T18:38:11"/>
    <s v="Wireless Mouse"/>
    <n v="5"/>
    <n v="1800"/>
    <s v="East"/>
    <s v="C0200"/>
    <n v="9000"/>
  </r>
  <r>
    <x v="21"/>
    <d v="2024-10-07T06:19:27"/>
    <s v="Wireless Mouse"/>
    <n v="2"/>
    <n v="1200"/>
    <s v="South"/>
    <s v="C0440"/>
    <n v="2400"/>
  </r>
  <r>
    <x v="21"/>
    <d v="2024-10-07T18:00:43"/>
    <s v="Headphones"/>
    <n v="2"/>
    <n v="1800"/>
    <s v="South"/>
    <s v="C0369"/>
    <n v="3600"/>
  </r>
  <r>
    <x v="21"/>
    <d v="2024-10-08T05:41:59"/>
    <s v="Smart Watch"/>
    <n v="5"/>
    <n v="700"/>
    <s v="North"/>
    <s v="C0473"/>
    <n v="3500"/>
  </r>
  <r>
    <x v="21"/>
    <d v="2024-10-08T17:23:15"/>
    <s v="Mobile Cover"/>
    <n v="5"/>
    <n v="450"/>
    <s v="West"/>
    <s v="C0306"/>
    <n v="2250"/>
  </r>
  <r>
    <x v="21"/>
    <d v="2024-10-09T05:04:31"/>
    <s v="Headphones"/>
    <n v="4"/>
    <n v="1200"/>
    <s v="West"/>
    <s v="C0012"/>
    <n v="4800"/>
  </r>
  <r>
    <x v="21"/>
    <d v="2024-10-09T16:45:47"/>
    <s v="Wireless Mouse"/>
    <n v="3"/>
    <n v="150"/>
    <s v="North"/>
    <s v="C0345"/>
    <n v="450"/>
  </r>
  <r>
    <x v="21"/>
    <d v="2024-10-10T04:27:03"/>
    <s v="Wireless Mouse"/>
    <n v="2"/>
    <n v="450"/>
    <s v="North"/>
    <s v="C0465"/>
    <n v="900"/>
  </r>
  <r>
    <x v="21"/>
    <d v="2024-10-10T16:08:20"/>
    <s v="Mobile Cover"/>
    <n v="3"/>
    <n v="150"/>
    <s v="South"/>
    <s v="C0188"/>
    <n v="450"/>
  </r>
  <r>
    <x v="21"/>
    <d v="2024-10-11T03:49:36"/>
    <s v="Keyboard"/>
    <n v="4"/>
    <n v="450"/>
    <s v="West"/>
    <s v="C0154"/>
    <n v="1800"/>
  </r>
  <r>
    <x v="21"/>
    <d v="2024-10-11T15:30:52"/>
    <s v="Laptop Bag"/>
    <n v="5"/>
    <n v="450"/>
    <s v="North"/>
    <s v="C0494"/>
    <n v="2250"/>
  </r>
  <r>
    <x v="21"/>
    <d v="2024-10-12T03:12:08"/>
    <s v="Wireless Mouse"/>
    <n v="6"/>
    <n v="1800"/>
    <s v="North"/>
    <s v="C0368"/>
    <n v="10800"/>
  </r>
  <r>
    <x v="21"/>
    <d v="2024-10-12T14:53:24"/>
    <s v="Smart Watch"/>
    <n v="3"/>
    <n v="1200"/>
    <s v="East"/>
    <s v="C0334"/>
    <n v="3600"/>
  </r>
  <r>
    <x v="21"/>
    <d v="2024-10-13T02:34:40"/>
    <s v="Smart Watch"/>
    <n v="5"/>
    <n v="1200"/>
    <s v="North"/>
    <s v="C0425"/>
    <n v="6000"/>
  </r>
  <r>
    <x v="21"/>
    <d v="2024-10-13T14:15:56"/>
    <s v="Wireless Mouse"/>
    <n v="5"/>
    <n v="450"/>
    <s v="North"/>
    <s v="C0420"/>
    <n v="2250"/>
  </r>
  <r>
    <x v="21"/>
    <d v="2024-10-14T01:57:12"/>
    <s v="Keyboard"/>
    <n v="1"/>
    <n v="700"/>
    <s v="West"/>
    <s v="C0377"/>
    <n v="700"/>
  </r>
  <r>
    <x v="21"/>
    <d v="2024-10-14T13:38:28"/>
    <s v="Keyboard"/>
    <n v="3"/>
    <n v="700"/>
    <s v="South"/>
    <s v="C0279"/>
    <n v="2100"/>
  </r>
  <r>
    <x v="21"/>
    <d v="2024-10-15T01:19:44"/>
    <s v="Headphones"/>
    <n v="6"/>
    <n v="150"/>
    <s v="West"/>
    <s v="C0171"/>
    <n v="900"/>
  </r>
  <r>
    <x v="21"/>
    <d v="2024-10-15T13:01:00"/>
    <s v="Smart Watch"/>
    <n v="3"/>
    <n v="150"/>
    <s v="South"/>
    <s v="C0134"/>
    <n v="450"/>
  </r>
  <r>
    <x v="21"/>
    <d v="2024-10-16T00:42:16"/>
    <s v="Headphones"/>
    <n v="5"/>
    <n v="1800"/>
    <s v="East"/>
    <s v="C0495"/>
    <n v="9000"/>
  </r>
  <r>
    <x v="21"/>
    <d v="2024-10-16T12:23:32"/>
    <s v="Smart Watch"/>
    <n v="6"/>
    <n v="450"/>
    <s v="North"/>
    <s v="C0453"/>
    <n v="2700"/>
  </r>
  <r>
    <x v="21"/>
    <d v="2024-10-17T00:04:48"/>
    <s v="Laptop Bag"/>
    <n v="4"/>
    <n v="150"/>
    <s v="East"/>
    <s v="C0427"/>
    <n v="600"/>
  </r>
  <r>
    <x v="21"/>
    <d v="2024-10-17T11:46:04"/>
    <s v="Laptop Bag"/>
    <n v="1"/>
    <n v="150"/>
    <s v="South"/>
    <s v="C0025"/>
    <n v="150"/>
  </r>
  <r>
    <x v="21"/>
    <d v="2024-10-17T23:27:20"/>
    <s v="Mobile Cover"/>
    <n v="5"/>
    <n v="3500"/>
    <s v="West"/>
    <s v="C0018"/>
    <n v="17500"/>
  </r>
  <r>
    <x v="21"/>
    <d v="2024-10-18T11:08:36"/>
    <s v="Headphones"/>
    <n v="2"/>
    <n v="450"/>
    <s v="West"/>
    <s v="C0190"/>
    <n v="900"/>
  </r>
  <r>
    <x v="21"/>
    <d v="2024-10-18T22:49:52"/>
    <s v="Wireless Mouse"/>
    <n v="2"/>
    <n v="1800"/>
    <s v="East"/>
    <s v="C0141"/>
    <n v="3600"/>
  </r>
  <r>
    <x v="21"/>
    <d v="2024-10-19T10:31:08"/>
    <s v="Headphones"/>
    <n v="1"/>
    <n v="150"/>
    <s v="South"/>
    <s v="C0043"/>
    <n v="150"/>
  </r>
  <r>
    <x v="21"/>
    <d v="2024-10-19T22:12:24"/>
    <s v="Wireless Mouse"/>
    <n v="4"/>
    <n v="1800"/>
    <s v="East"/>
    <s v="C0334"/>
    <n v="7200"/>
  </r>
  <r>
    <x v="21"/>
    <d v="2024-10-20T09:53:41"/>
    <s v="Keyboard"/>
    <n v="5"/>
    <n v="1200"/>
    <s v="East"/>
    <s v="C0284"/>
    <n v="6000"/>
  </r>
  <r>
    <x v="21"/>
    <d v="2024-10-20T21:34:57"/>
    <s v="Headphones"/>
    <n v="3"/>
    <n v="1800"/>
    <s v="North"/>
    <s v="C0146"/>
    <n v="5400"/>
  </r>
  <r>
    <x v="21"/>
    <d v="2024-10-21T09:16:13"/>
    <s v="Keyboard"/>
    <n v="1"/>
    <n v="700"/>
    <s v="East"/>
    <s v="C0315"/>
    <n v="700"/>
  </r>
  <r>
    <x v="21"/>
    <d v="2024-10-21T20:57:29"/>
    <s v="Laptop Bag"/>
    <n v="4"/>
    <n v="700"/>
    <s v="North"/>
    <s v="C0444"/>
    <n v="2800"/>
  </r>
  <r>
    <x v="21"/>
    <d v="2024-10-22T08:38:45"/>
    <s v="Laptop Bag"/>
    <n v="3"/>
    <n v="1800"/>
    <s v="North"/>
    <s v="C0319"/>
    <n v="5400"/>
  </r>
  <r>
    <x v="21"/>
    <d v="2024-10-22T20:20:01"/>
    <s v="Mobile Cover"/>
    <n v="2"/>
    <n v="700"/>
    <s v="West"/>
    <s v="C0441"/>
    <n v="1400"/>
  </r>
  <r>
    <x v="21"/>
    <d v="2024-10-23T08:01:17"/>
    <s v="Headphones"/>
    <n v="2"/>
    <n v="1200"/>
    <s v="North"/>
    <s v="C0092"/>
    <n v="2400"/>
  </r>
  <r>
    <x v="21"/>
    <d v="2024-10-23T19:42:33"/>
    <s v="Keyboard"/>
    <n v="3"/>
    <n v="450"/>
    <s v="North"/>
    <s v="C0179"/>
    <n v="1350"/>
  </r>
  <r>
    <x v="21"/>
    <d v="2024-10-24T07:23:49"/>
    <s v="Wireless Mouse"/>
    <n v="1"/>
    <n v="700"/>
    <s v="West"/>
    <s v="C0056"/>
    <n v="700"/>
  </r>
  <r>
    <x v="21"/>
    <d v="2024-10-24T19:05:05"/>
    <s v="Laptop Bag"/>
    <n v="2"/>
    <n v="700"/>
    <s v="East"/>
    <s v="C0155"/>
    <n v="1400"/>
  </r>
  <r>
    <x v="21"/>
    <d v="2024-10-25T06:46:21"/>
    <s v="Laptop Bag"/>
    <n v="5"/>
    <n v="1800"/>
    <s v="South"/>
    <s v="C0160"/>
    <n v="9000"/>
  </r>
  <r>
    <x v="21"/>
    <d v="2024-10-25T18:27:37"/>
    <s v="Wireless Mouse"/>
    <n v="6"/>
    <n v="1200"/>
    <s v="South"/>
    <s v="C0111"/>
    <n v="7200"/>
  </r>
  <r>
    <x v="21"/>
    <d v="2024-10-26T06:08:53"/>
    <s v="Keyboard"/>
    <n v="3"/>
    <n v="450"/>
    <s v="South"/>
    <s v="C0137"/>
    <n v="1350"/>
  </r>
  <r>
    <x v="21"/>
    <d v="2024-10-26T17:50:09"/>
    <s v="Keyboard"/>
    <n v="3"/>
    <n v="1800"/>
    <s v="East"/>
    <s v="C0232"/>
    <n v="5400"/>
  </r>
  <r>
    <x v="21"/>
    <d v="2024-10-27T05:31:25"/>
    <s v="Headphones"/>
    <n v="2"/>
    <n v="1800"/>
    <s v="North"/>
    <s v="C0480"/>
    <n v="3600"/>
  </r>
  <r>
    <x v="21"/>
    <d v="2024-10-27T17:12:41"/>
    <s v="Headphones"/>
    <n v="1"/>
    <n v="3500"/>
    <s v="South"/>
    <s v="C0468"/>
    <n v="3500"/>
  </r>
  <r>
    <x v="21"/>
    <d v="2024-10-28T04:53:57"/>
    <s v="Smart Watch"/>
    <n v="5"/>
    <n v="1200"/>
    <s v="East"/>
    <s v="C0220"/>
    <n v="6000"/>
  </r>
  <r>
    <x v="21"/>
    <d v="2024-10-28T16:35:13"/>
    <s v="Smart Watch"/>
    <n v="1"/>
    <n v="450"/>
    <s v="North"/>
    <s v="C0481"/>
    <n v="450"/>
  </r>
  <r>
    <x v="21"/>
    <d v="2024-10-29T04:16:29"/>
    <s v="Mobile Cover"/>
    <n v="4"/>
    <n v="1200"/>
    <s v="West"/>
    <s v="C0068"/>
    <n v="4800"/>
  </r>
  <r>
    <x v="21"/>
    <d v="2024-10-29T15:57:46"/>
    <s v="Laptop Bag"/>
    <n v="4"/>
    <n v="450"/>
    <s v="South"/>
    <s v="C0302"/>
    <n v="1800"/>
  </r>
  <r>
    <x v="21"/>
    <d v="2024-10-30T03:39:02"/>
    <s v="Headphones"/>
    <n v="6"/>
    <n v="1200"/>
    <s v="North"/>
    <s v="C0249"/>
    <n v="7200"/>
  </r>
  <r>
    <x v="21"/>
    <d v="2024-10-30T15:20:18"/>
    <s v="Keyboard"/>
    <n v="2"/>
    <n v="1800"/>
    <s v="South"/>
    <s v="C0482"/>
    <n v="3600"/>
  </r>
  <r>
    <x v="21"/>
    <d v="2024-10-31T03:01:34"/>
    <s v="Wireless Mouse"/>
    <n v="2"/>
    <n v="1800"/>
    <s v="South"/>
    <s v="C0496"/>
    <n v="3600"/>
  </r>
  <r>
    <x v="21"/>
    <d v="2024-10-31T14:42:50"/>
    <s v="Keyboard"/>
    <n v="2"/>
    <n v="150"/>
    <s v="South"/>
    <s v="C0323"/>
    <n v="300"/>
  </r>
  <r>
    <x v="22"/>
    <d v="2024-11-01T02:24:06"/>
    <s v="Laptop Bag"/>
    <n v="6"/>
    <n v="700"/>
    <s v="North"/>
    <s v="C0410"/>
    <n v="4200"/>
  </r>
  <r>
    <x v="22"/>
    <d v="2024-11-01T14:05:22"/>
    <s v="Smart Watch"/>
    <n v="4"/>
    <n v="3500"/>
    <s v="East"/>
    <s v="C0392"/>
    <n v="14000"/>
  </r>
  <r>
    <x v="22"/>
    <d v="2024-11-02T01:46:38"/>
    <s v="Keyboard"/>
    <n v="1"/>
    <n v="1200"/>
    <s v="North"/>
    <s v="C0006"/>
    <n v="1200"/>
  </r>
  <r>
    <x v="22"/>
    <d v="2024-11-02T13:27:54"/>
    <s v="Mobile Cover"/>
    <n v="6"/>
    <n v="3500"/>
    <s v="South"/>
    <s v="C0464"/>
    <n v="21000"/>
  </r>
  <r>
    <x v="22"/>
    <d v="2024-11-03T01:09:10"/>
    <s v="Laptop Bag"/>
    <n v="6"/>
    <n v="150"/>
    <s v="North"/>
    <s v="C0280"/>
    <n v="900"/>
  </r>
  <r>
    <x v="22"/>
    <d v="2024-11-03T12:50:26"/>
    <s v="Smart Watch"/>
    <n v="1"/>
    <n v="700"/>
    <s v="West"/>
    <s v="C0432"/>
    <n v="700"/>
  </r>
  <r>
    <x v="22"/>
    <d v="2024-11-04T00:31:42"/>
    <s v="Wireless Mouse"/>
    <n v="2"/>
    <n v="1200"/>
    <s v="East"/>
    <s v="C0487"/>
    <n v="2400"/>
  </r>
  <r>
    <x v="22"/>
    <d v="2024-11-04T12:12:58"/>
    <s v="Smart Watch"/>
    <n v="5"/>
    <n v="450"/>
    <s v="North"/>
    <s v="C0094"/>
    <n v="2250"/>
  </r>
  <r>
    <x v="22"/>
    <d v="2024-11-04T23:54:14"/>
    <s v="Mobile Cover"/>
    <n v="1"/>
    <n v="700"/>
    <s v="West"/>
    <s v="C0429"/>
    <n v="700"/>
  </r>
  <r>
    <x v="22"/>
    <d v="2024-11-05T11:35:30"/>
    <s v="Laptop Bag"/>
    <n v="4"/>
    <n v="1800"/>
    <s v="East"/>
    <s v="C0269"/>
    <n v="7200"/>
  </r>
  <r>
    <x v="22"/>
    <d v="2024-11-05T23:16:46"/>
    <s v="Wireless Mouse"/>
    <n v="3"/>
    <n v="150"/>
    <s v="West"/>
    <s v="C0197"/>
    <n v="450"/>
  </r>
  <r>
    <x v="22"/>
    <d v="2024-11-06T10:58:02"/>
    <s v="Mobile Cover"/>
    <n v="3"/>
    <n v="700"/>
    <s v="East"/>
    <s v="C0025"/>
    <n v="2100"/>
  </r>
  <r>
    <x v="22"/>
    <d v="2024-11-06T22:39:18"/>
    <s v="Smart Watch"/>
    <n v="6"/>
    <n v="700"/>
    <s v="North"/>
    <s v="C0148"/>
    <n v="4200"/>
  </r>
  <r>
    <x v="22"/>
    <d v="2024-11-07T10:20:34"/>
    <s v="Mobile Cover"/>
    <n v="3"/>
    <n v="1800"/>
    <s v="West"/>
    <s v="C0118"/>
    <n v="5400"/>
  </r>
  <r>
    <x v="22"/>
    <d v="2024-11-07T22:01:50"/>
    <s v="Laptop Bag"/>
    <n v="5"/>
    <n v="1200"/>
    <s v="South"/>
    <s v="C0338"/>
    <n v="6000"/>
  </r>
  <r>
    <x v="22"/>
    <d v="2024-11-08T09:43:07"/>
    <s v="Headphones"/>
    <n v="2"/>
    <n v="450"/>
    <s v="West"/>
    <s v="C0367"/>
    <n v="900"/>
  </r>
  <r>
    <x v="22"/>
    <d v="2024-11-08T21:24:23"/>
    <s v="Mobile Cover"/>
    <n v="4"/>
    <n v="1800"/>
    <s v="East"/>
    <s v="C0338"/>
    <n v="7200"/>
  </r>
  <r>
    <x v="22"/>
    <d v="2024-11-09T09:05:39"/>
    <s v="Mobile Cover"/>
    <n v="5"/>
    <n v="450"/>
    <s v="North"/>
    <s v="C0066"/>
    <n v="2250"/>
  </r>
  <r>
    <x v="22"/>
    <d v="2024-11-09T20:46:55"/>
    <s v="Smart Watch"/>
    <n v="4"/>
    <n v="1200"/>
    <s v="East"/>
    <s v="C0458"/>
    <n v="4800"/>
  </r>
  <r>
    <x v="22"/>
    <d v="2024-11-10T08:28:11"/>
    <s v="Smart Watch"/>
    <n v="4"/>
    <n v="700"/>
    <s v="West"/>
    <s v="C0301"/>
    <n v="2800"/>
  </r>
  <r>
    <x v="22"/>
    <d v="2024-11-10T20:09:27"/>
    <s v="Wireless Mouse"/>
    <n v="2"/>
    <n v="450"/>
    <s v="West"/>
    <s v="C0370"/>
    <n v="900"/>
  </r>
  <r>
    <x v="22"/>
    <d v="2024-11-11T07:50:43"/>
    <s v="Smart Watch"/>
    <n v="6"/>
    <n v="150"/>
    <s v="South"/>
    <s v="C0175"/>
    <n v="900"/>
  </r>
  <r>
    <x v="22"/>
    <d v="2024-11-11T19:31:59"/>
    <s v="Keyboard"/>
    <n v="3"/>
    <n v="150"/>
    <s v="North"/>
    <s v="C0319"/>
    <n v="450"/>
  </r>
  <r>
    <x v="22"/>
    <d v="2024-11-12T07:13:15"/>
    <s v="Laptop Bag"/>
    <n v="2"/>
    <n v="1800"/>
    <s v="North"/>
    <s v="C0076"/>
    <n v="3600"/>
  </r>
  <r>
    <x v="22"/>
    <d v="2024-11-12T18:54:31"/>
    <s v="Laptop Bag"/>
    <n v="5"/>
    <n v="1200"/>
    <s v="West"/>
    <s v="C0495"/>
    <n v="6000"/>
  </r>
  <r>
    <x v="22"/>
    <d v="2024-11-13T06:35:47"/>
    <s v="Headphones"/>
    <n v="6"/>
    <n v="1800"/>
    <s v="North"/>
    <s v="C0461"/>
    <n v="10800"/>
  </r>
  <r>
    <x v="22"/>
    <d v="2024-11-13T18:17:03"/>
    <s v="Headphones"/>
    <n v="5"/>
    <n v="1800"/>
    <s v="South"/>
    <s v="C0114"/>
    <n v="9000"/>
  </r>
  <r>
    <x v="22"/>
    <d v="2024-11-14T05:58:19"/>
    <s v="Laptop Bag"/>
    <n v="6"/>
    <n v="3500"/>
    <s v="East"/>
    <s v="C0111"/>
    <n v="21000"/>
  </r>
  <r>
    <x v="22"/>
    <d v="2024-11-14T17:39:35"/>
    <s v="Headphones"/>
    <n v="5"/>
    <n v="1800"/>
    <s v="North"/>
    <s v="C0249"/>
    <n v="9000"/>
  </r>
  <r>
    <x v="22"/>
    <d v="2024-11-15T05:20:51"/>
    <s v="Wireless Mouse"/>
    <n v="2"/>
    <n v="3500"/>
    <s v="West"/>
    <s v="C0439"/>
    <n v="7000"/>
  </r>
  <r>
    <x v="22"/>
    <d v="2024-11-15T17:02:07"/>
    <s v="Smart Watch"/>
    <n v="6"/>
    <n v="150"/>
    <s v="East"/>
    <s v="C0203"/>
    <n v="900"/>
  </r>
  <r>
    <x v="22"/>
    <d v="2024-11-16T04:43:23"/>
    <s v="Laptop Bag"/>
    <n v="6"/>
    <n v="150"/>
    <s v="East"/>
    <s v="C0147"/>
    <n v="900"/>
  </r>
  <r>
    <x v="22"/>
    <d v="2024-11-16T16:24:39"/>
    <s v="Headphones"/>
    <n v="4"/>
    <n v="1800"/>
    <s v="South"/>
    <s v="C0035"/>
    <n v="7200"/>
  </r>
  <r>
    <x v="22"/>
    <d v="2024-11-17T04:05:55"/>
    <s v="Laptop Bag"/>
    <n v="4"/>
    <n v="150"/>
    <s v="West"/>
    <s v="C0487"/>
    <n v="600"/>
  </r>
  <r>
    <x v="22"/>
    <d v="2024-11-17T15:47:11"/>
    <s v="Keyboard"/>
    <n v="1"/>
    <n v="1200"/>
    <s v="North"/>
    <s v="C0309"/>
    <n v="1200"/>
  </r>
  <r>
    <x v="22"/>
    <d v="2024-11-18T03:28:28"/>
    <s v="Mobile Cover"/>
    <n v="5"/>
    <n v="3500"/>
    <s v="West"/>
    <s v="C0026"/>
    <n v="17500"/>
  </r>
  <r>
    <x v="22"/>
    <d v="2024-11-18T15:09:44"/>
    <s v="Smart Watch"/>
    <n v="4"/>
    <n v="3500"/>
    <s v="East"/>
    <s v="C0238"/>
    <n v="14000"/>
  </r>
  <r>
    <x v="22"/>
    <d v="2024-11-19T02:51:00"/>
    <s v="Laptop Bag"/>
    <n v="1"/>
    <n v="1800"/>
    <s v="West"/>
    <s v="C0014"/>
    <n v="1800"/>
  </r>
  <r>
    <x v="22"/>
    <d v="2024-11-19T14:32:16"/>
    <s v="Mobile Cover"/>
    <n v="4"/>
    <n v="150"/>
    <s v="North"/>
    <s v="C0374"/>
    <n v="600"/>
  </r>
  <r>
    <x v="22"/>
    <d v="2024-11-20T02:13:32"/>
    <s v="Headphones"/>
    <n v="5"/>
    <n v="450"/>
    <s v="North"/>
    <s v="C0045"/>
    <n v="2250"/>
  </r>
  <r>
    <x v="22"/>
    <d v="2024-11-20T13:54:48"/>
    <s v="Mobile Cover"/>
    <n v="6"/>
    <n v="3500"/>
    <s v="South"/>
    <s v="C0428"/>
    <n v="21000"/>
  </r>
  <r>
    <x v="22"/>
    <d v="2024-11-21T01:36:04"/>
    <s v="Smart Watch"/>
    <n v="3"/>
    <n v="1800"/>
    <s v="North"/>
    <s v="C0216"/>
    <n v="5400"/>
  </r>
  <r>
    <x v="22"/>
    <d v="2024-11-21T13:17:20"/>
    <s v="Laptop Bag"/>
    <n v="5"/>
    <n v="1800"/>
    <s v="North"/>
    <s v="C0233"/>
    <n v="9000"/>
  </r>
  <r>
    <x v="22"/>
    <d v="2024-11-22T00:58:36"/>
    <s v="Keyboard"/>
    <n v="2"/>
    <n v="1200"/>
    <s v="West"/>
    <s v="C0193"/>
    <n v="2400"/>
  </r>
  <r>
    <x v="22"/>
    <d v="2024-11-22T12:39:52"/>
    <s v="Headphones"/>
    <n v="4"/>
    <n v="700"/>
    <s v="West"/>
    <s v="C0051"/>
    <n v="2800"/>
  </r>
  <r>
    <x v="22"/>
    <d v="2024-11-23T00:21:08"/>
    <s v="Laptop Bag"/>
    <n v="4"/>
    <n v="700"/>
    <s v="East"/>
    <s v="C0427"/>
    <n v="2800"/>
  </r>
  <r>
    <x v="22"/>
    <d v="2024-11-23T12:02:24"/>
    <s v="Smart Watch"/>
    <n v="6"/>
    <n v="3500"/>
    <s v="South"/>
    <s v="C0375"/>
    <n v="21000"/>
  </r>
  <r>
    <x v="22"/>
    <d v="2024-11-23T23:43:40"/>
    <s v="Headphones"/>
    <n v="2"/>
    <n v="1200"/>
    <s v="West"/>
    <s v="C0214"/>
    <n v="2400"/>
  </r>
  <r>
    <x v="22"/>
    <d v="2024-11-24T11:24:56"/>
    <s v="Wireless Mouse"/>
    <n v="6"/>
    <n v="1200"/>
    <s v="North"/>
    <s v="C0151"/>
    <n v="7200"/>
  </r>
  <r>
    <x v="22"/>
    <d v="2024-11-24T23:06:12"/>
    <s v="Mobile Cover"/>
    <n v="2"/>
    <n v="1200"/>
    <s v="East"/>
    <s v="C0440"/>
    <n v="2400"/>
  </r>
  <r>
    <x v="22"/>
    <d v="2024-11-25T10:47:28"/>
    <s v="Smart Watch"/>
    <n v="3"/>
    <n v="3500"/>
    <s v="West"/>
    <s v="C0275"/>
    <n v="10500"/>
  </r>
  <r>
    <x v="22"/>
    <d v="2024-11-25T22:28:44"/>
    <s v="Wireless Mouse"/>
    <n v="4"/>
    <n v="700"/>
    <s v="South"/>
    <s v="C0338"/>
    <n v="2800"/>
  </r>
  <r>
    <x v="22"/>
    <d v="2024-11-26T10:10:00"/>
    <s v="Laptop Bag"/>
    <n v="4"/>
    <n v="1200"/>
    <s v="South"/>
    <s v="C0076"/>
    <n v="4800"/>
  </r>
  <r>
    <x v="22"/>
    <d v="2024-11-26T21:51:16"/>
    <s v="Keyboard"/>
    <n v="3"/>
    <n v="150"/>
    <s v="East"/>
    <s v="C0439"/>
    <n v="450"/>
  </r>
  <r>
    <x v="22"/>
    <d v="2024-11-27T09:32:33"/>
    <s v="Headphones"/>
    <n v="1"/>
    <n v="1800"/>
    <s v="East"/>
    <s v="C0220"/>
    <n v="1800"/>
  </r>
  <r>
    <x v="22"/>
    <d v="2024-11-27T21:13:49"/>
    <s v="Mobile Cover"/>
    <n v="6"/>
    <n v="1800"/>
    <s v="East"/>
    <s v="C0348"/>
    <n v="10800"/>
  </r>
  <r>
    <x v="22"/>
    <d v="2024-11-28T08:55:05"/>
    <s v="Headphones"/>
    <n v="3"/>
    <n v="450"/>
    <s v="East"/>
    <s v="C0444"/>
    <n v="1350"/>
  </r>
  <r>
    <x v="22"/>
    <d v="2024-11-28T20:36:21"/>
    <s v="Laptop Bag"/>
    <n v="6"/>
    <n v="450"/>
    <s v="East"/>
    <s v="C0187"/>
    <n v="2700"/>
  </r>
  <r>
    <x v="22"/>
    <d v="2024-11-29T08:17:37"/>
    <s v="Headphones"/>
    <n v="5"/>
    <n v="3500"/>
    <s v="North"/>
    <s v="C0289"/>
    <n v="17500"/>
  </r>
  <r>
    <x v="22"/>
    <d v="2024-11-29T19:58:53"/>
    <s v="Mobile Cover"/>
    <n v="4"/>
    <n v="3500"/>
    <s v="North"/>
    <s v="C0403"/>
    <n v="14000"/>
  </r>
  <r>
    <x v="22"/>
    <d v="2024-11-30T07:40:09"/>
    <s v="Laptop Bag"/>
    <n v="6"/>
    <n v="1800"/>
    <s v="West"/>
    <s v="C0028"/>
    <n v="10800"/>
  </r>
  <r>
    <x v="22"/>
    <d v="2024-11-30T19:21:25"/>
    <s v="Headphones"/>
    <n v="2"/>
    <n v="150"/>
    <s v="South"/>
    <s v="C0379"/>
    <n v="300"/>
  </r>
  <r>
    <x v="23"/>
    <d v="2024-12-01T07:02:41"/>
    <s v="Keyboard"/>
    <n v="6"/>
    <n v="700"/>
    <s v="North"/>
    <s v="C0180"/>
    <n v="4200"/>
  </r>
  <r>
    <x v="23"/>
    <d v="2024-12-01T18:43:57"/>
    <s v="Smart Watch"/>
    <n v="5"/>
    <n v="700"/>
    <s v="North"/>
    <s v="C0253"/>
    <n v="3500"/>
  </r>
  <r>
    <x v="23"/>
    <d v="2024-12-02T06:25:13"/>
    <s v="Laptop Bag"/>
    <n v="4"/>
    <n v="3500"/>
    <s v="North"/>
    <s v="C0126"/>
    <n v="14000"/>
  </r>
  <r>
    <x v="23"/>
    <d v="2024-12-02T18:06:29"/>
    <s v="Smart Watch"/>
    <n v="3"/>
    <n v="150"/>
    <s v="West"/>
    <s v="C0177"/>
    <n v="450"/>
  </r>
  <r>
    <x v="23"/>
    <d v="2024-12-03T05:47:45"/>
    <s v="Laptop Bag"/>
    <n v="5"/>
    <n v="3500"/>
    <s v="East"/>
    <s v="C0037"/>
    <n v="17500"/>
  </r>
  <r>
    <x v="23"/>
    <d v="2024-12-03T17:29:01"/>
    <s v="Keyboard"/>
    <n v="4"/>
    <n v="700"/>
    <s v="West"/>
    <s v="C0410"/>
    <n v="2800"/>
  </r>
  <r>
    <x v="23"/>
    <d v="2024-12-04T05:10:17"/>
    <s v="Smart Watch"/>
    <n v="6"/>
    <n v="3500"/>
    <s v="South"/>
    <s v="C0099"/>
    <n v="21000"/>
  </r>
  <r>
    <x v="23"/>
    <d v="2024-12-04T16:51:33"/>
    <s v="Wireless Mouse"/>
    <n v="1"/>
    <n v="1200"/>
    <s v="South"/>
    <s v="C0098"/>
    <n v="1200"/>
  </r>
  <r>
    <x v="23"/>
    <d v="2024-12-05T04:32:49"/>
    <s v="Mobile Cover"/>
    <n v="1"/>
    <n v="3500"/>
    <s v="South"/>
    <s v="C0127"/>
    <n v="3500"/>
  </r>
  <r>
    <x v="23"/>
    <d v="2024-12-05T16:14:05"/>
    <s v="Wireless Mouse"/>
    <n v="2"/>
    <n v="1800"/>
    <s v="South"/>
    <s v="C0483"/>
    <n v="3600"/>
  </r>
  <r>
    <x v="23"/>
    <d v="2024-12-06T03:55:21"/>
    <s v="Headphones"/>
    <n v="4"/>
    <n v="3500"/>
    <s v="North"/>
    <s v="C0168"/>
    <n v="14000"/>
  </r>
  <r>
    <x v="23"/>
    <d v="2024-12-06T15:36:37"/>
    <s v="Keyboard"/>
    <n v="1"/>
    <n v="1800"/>
    <s v="North"/>
    <s v="C0080"/>
    <n v="1800"/>
  </r>
  <r>
    <x v="23"/>
    <d v="2024-12-07T03:17:54"/>
    <s v="Wireless Mouse"/>
    <n v="3"/>
    <n v="150"/>
    <s v="West"/>
    <s v="C0294"/>
    <n v="450"/>
  </r>
  <r>
    <x v="23"/>
    <d v="2024-12-07T14:59:10"/>
    <s v="Laptop Bag"/>
    <n v="4"/>
    <n v="700"/>
    <s v="East"/>
    <s v="C0333"/>
    <n v="2800"/>
  </r>
  <r>
    <x v="23"/>
    <d v="2024-12-08T02:40:26"/>
    <s v="Headphones"/>
    <n v="3"/>
    <n v="450"/>
    <s v="South"/>
    <s v="C0126"/>
    <n v="1350"/>
  </r>
  <r>
    <x v="23"/>
    <d v="2024-12-08T14:21:42"/>
    <s v="Headphones"/>
    <n v="3"/>
    <n v="450"/>
    <s v="West"/>
    <s v="C0343"/>
    <n v="1350"/>
  </r>
  <r>
    <x v="23"/>
    <d v="2024-12-09T02:02:58"/>
    <s v="Wireless Mouse"/>
    <n v="1"/>
    <n v="700"/>
    <s v="North"/>
    <s v="C0310"/>
    <n v="700"/>
  </r>
  <r>
    <x v="23"/>
    <d v="2024-12-09T13:44:14"/>
    <s v="Wireless Mouse"/>
    <n v="4"/>
    <n v="450"/>
    <s v="North"/>
    <s v="C0150"/>
    <n v="1800"/>
  </r>
  <r>
    <x v="23"/>
    <d v="2024-12-10T01:25:30"/>
    <s v="Keyboard"/>
    <n v="6"/>
    <n v="3500"/>
    <s v="East"/>
    <s v="C0016"/>
    <n v="21000"/>
  </r>
  <r>
    <x v="23"/>
    <d v="2024-12-10T13:06:46"/>
    <s v="Mobile Cover"/>
    <n v="5"/>
    <n v="150"/>
    <s v="East"/>
    <s v="C0028"/>
    <n v="750"/>
  </r>
  <r>
    <x v="23"/>
    <d v="2024-12-11T00:48:02"/>
    <s v="Wireless Mouse"/>
    <n v="1"/>
    <n v="150"/>
    <s v="East"/>
    <s v="C0496"/>
    <n v="150"/>
  </r>
  <r>
    <x v="23"/>
    <d v="2024-12-11T12:29:18"/>
    <s v="Wireless Mouse"/>
    <n v="1"/>
    <n v="700"/>
    <s v="West"/>
    <s v="C0419"/>
    <n v="700"/>
  </r>
  <r>
    <x v="23"/>
    <d v="2024-12-12T00:10:34"/>
    <s v="Smart Watch"/>
    <n v="6"/>
    <n v="450"/>
    <s v="North"/>
    <s v="C0444"/>
    <n v="2700"/>
  </r>
  <r>
    <x v="23"/>
    <d v="2024-12-12T11:51:50"/>
    <s v="Laptop Bag"/>
    <n v="4"/>
    <n v="3500"/>
    <s v="North"/>
    <s v="C0173"/>
    <n v="14000"/>
  </r>
  <r>
    <x v="23"/>
    <d v="2024-12-12T23:33:06"/>
    <s v="Smart Watch"/>
    <n v="4"/>
    <n v="150"/>
    <s v="East"/>
    <s v="C0046"/>
    <n v="600"/>
  </r>
  <r>
    <x v="23"/>
    <d v="2024-12-13T11:14:22"/>
    <s v="Smart Watch"/>
    <n v="3"/>
    <n v="150"/>
    <s v="South"/>
    <s v="C0328"/>
    <n v="450"/>
  </r>
  <r>
    <x v="23"/>
    <d v="2024-12-13T22:55:38"/>
    <s v="Headphones"/>
    <n v="6"/>
    <n v="1200"/>
    <s v="East"/>
    <s v="C0236"/>
    <n v="7200"/>
  </r>
  <r>
    <x v="23"/>
    <d v="2024-12-14T10:36:54"/>
    <s v="Mobile Cover"/>
    <n v="6"/>
    <n v="1200"/>
    <s v="West"/>
    <s v="C0439"/>
    <n v="7200"/>
  </r>
  <r>
    <x v="23"/>
    <d v="2024-12-14T22:18:10"/>
    <s v="Laptop Bag"/>
    <n v="4"/>
    <n v="150"/>
    <s v="East"/>
    <s v="C0214"/>
    <n v="600"/>
  </r>
  <r>
    <x v="23"/>
    <d v="2024-12-15T09:59:26"/>
    <s v="Keyboard"/>
    <n v="3"/>
    <n v="700"/>
    <s v="East"/>
    <s v="C0085"/>
    <n v="2100"/>
  </r>
  <r>
    <x v="23"/>
    <d v="2024-12-15T21:40:42"/>
    <s v="Keyboard"/>
    <n v="1"/>
    <n v="1800"/>
    <s v="West"/>
    <s v="C0282"/>
    <n v="1800"/>
  </r>
  <r>
    <x v="23"/>
    <d v="2024-12-16T09:21:58"/>
    <s v="Wireless Mouse"/>
    <n v="2"/>
    <n v="1800"/>
    <s v="East"/>
    <s v="C0232"/>
    <n v="3600"/>
  </r>
  <r>
    <x v="23"/>
    <d v="2024-12-16T21:03:15"/>
    <s v="Wireless Mouse"/>
    <n v="5"/>
    <n v="3500"/>
    <s v="North"/>
    <s v="C0085"/>
    <n v="17500"/>
  </r>
  <r>
    <x v="23"/>
    <d v="2024-12-17T08:44:31"/>
    <s v="Keyboard"/>
    <n v="1"/>
    <n v="150"/>
    <s v="South"/>
    <s v="C0409"/>
    <n v="150"/>
  </r>
  <r>
    <x v="23"/>
    <d v="2024-12-17T20:25:47"/>
    <s v="Wireless Mouse"/>
    <n v="4"/>
    <n v="150"/>
    <s v="East"/>
    <s v="C0489"/>
    <n v="600"/>
  </r>
  <r>
    <x v="23"/>
    <d v="2024-12-18T08:07:03"/>
    <s v="Mobile Cover"/>
    <n v="5"/>
    <n v="150"/>
    <s v="West"/>
    <s v="C0065"/>
    <n v="750"/>
  </r>
  <r>
    <x v="23"/>
    <d v="2024-12-18T19:48:19"/>
    <s v="Smart Watch"/>
    <n v="2"/>
    <n v="700"/>
    <s v="South"/>
    <s v="C0134"/>
    <n v="1400"/>
  </r>
  <r>
    <x v="23"/>
    <d v="2024-12-19T07:29:35"/>
    <s v="Wireless Mouse"/>
    <n v="2"/>
    <n v="1200"/>
    <s v="West"/>
    <s v="C0151"/>
    <n v="2400"/>
  </r>
  <r>
    <x v="23"/>
    <d v="2024-12-19T19:10:51"/>
    <s v="Headphones"/>
    <n v="3"/>
    <n v="150"/>
    <s v="South"/>
    <s v="C0115"/>
    <n v="450"/>
  </r>
  <r>
    <x v="23"/>
    <d v="2024-12-20T06:52:07"/>
    <s v="Wireless Mouse"/>
    <n v="5"/>
    <n v="150"/>
    <s v="South"/>
    <s v="C0064"/>
    <n v="750"/>
  </r>
  <r>
    <x v="23"/>
    <d v="2024-12-20T18:33:23"/>
    <s v="Laptop Bag"/>
    <n v="3"/>
    <n v="450"/>
    <s v="East"/>
    <s v="C0343"/>
    <n v="1350"/>
  </r>
  <r>
    <x v="23"/>
    <d v="2024-12-21T06:14:39"/>
    <s v="Mobile Cover"/>
    <n v="1"/>
    <n v="700"/>
    <s v="North"/>
    <s v="C0427"/>
    <n v="700"/>
  </r>
  <r>
    <x v="23"/>
    <d v="2024-12-21T17:55:55"/>
    <s v="Laptop Bag"/>
    <n v="6"/>
    <n v="3500"/>
    <s v="East"/>
    <s v="C0363"/>
    <n v="21000"/>
  </r>
  <r>
    <x v="23"/>
    <d v="2024-12-22T05:37:11"/>
    <s v="Laptop Bag"/>
    <n v="6"/>
    <n v="150"/>
    <s v="West"/>
    <s v="C0407"/>
    <n v="900"/>
  </r>
  <r>
    <x v="23"/>
    <d v="2024-12-22T17:18:27"/>
    <s v="Headphones"/>
    <n v="6"/>
    <n v="450"/>
    <s v="West"/>
    <s v="C0352"/>
    <n v="2700"/>
  </r>
  <r>
    <x v="23"/>
    <d v="2024-12-23T04:59:43"/>
    <s v="Mobile Cover"/>
    <n v="5"/>
    <n v="1800"/>
    <s v="South"/>
    <s v="C0158"/>
    <n v="9000"/>
  </r>
  <r>
    <x v="23"/>
    <d v="2024-12-23T16:40:59"/>
    <s v="Mobile Cover"/>
    <n v="6"/>
    <n v="3500"/>
    <s v="South"/>
    <s v="C0077"/>
    <n v="21000"/>
  </r>
  <r>
    <x v="23"/>
    <d v="2024-12-24T04:22:15"/>
    <s v="Mobile Cover"/>
    <n v="1"/>
    <n v="150"/>
    <s v="North"/>
    <s v="C0491"/>
    <n v="150"/>
  </r>
  <r>
    <x v="23"/>
    <d v="2024-12-24T16:03:31"/>
    <s v="Mobile Cover"/>
    <n v="3"/>
    <n v="150"/>
    <s v="East"/>
    <s v="C0146"/>
    <n v="450"/>
  </r>
  <r>
    <x v="23"/>
    <d v="2024-12-25T03:44:47"/>
    <s v="Mobile Cover"/>
    <n v="5"/>
    <n v="450"/>
    <s v="West"/>
    <s v="C0343"/>
    <n v="2250"/>
  </r>
  <r>
    <x v="23"/>
    <d v="2024-12-25T15:26:03"/>
    <s v="Headphones"/>
    <n v="3"/>
    <n v="700"/>
    <s v="South"/>
    <s v="C0463"/>
    <n v="2100"/>
  </r>
  <r>
    <x v="23"/>
    <d v="2024-12-26T03:07:19"/>
    <s v="Wireless Mouse"/>
    <n v="5"/>
    <n v="150"/>
    <s v="North"/>
    <s v="C0225"/>
    <n v="750"/>
  </r>
  <r>
    <x v="23"/>
    <d v="2024-12-26T14:48:36"/>
    <s v="Laptop Bag"/>
    <n v="3"/>
    <n v="1800"/>
    <s v="West"/>
    <s v="C0405"/>
    <n v="5400"/>
  </r>
  <r>
    <x v="23"/>
    <d v="2024-12-27T02:29:52"/>
    <s v="Mobile Cover"/>
    <n v="2"/>
    <n v="150"/>
    <s v="South"/>
    <s v="C0313"/>
    <n v="300"/>
  </r>
  <r>
    <x v="23"/>
    <d v="2024-12-27T14:11:08"/>
    <s v="Wireless Mouse"/>
    <n v="3"/>
    <n v="1800"/>
    <s v="West"/>
    <s v="C0103"/>
    <n v="5400"/>
  </r>
  <r>
    <x v="23"/>
    <d v="2024-12-28T01:52:24"/>
    <s v="Wireless Mouse"/>
    <n v="6"/>
    <n v="3500"/>
    <s v="North"/>
    <s v="C0407"/>
    <n v="21000"/>
  </r>
  <r>
    <x v="23"/>
    <d v="2024-12-28T13:33:40"/>
    <s v="Laptop Bag"/>
    <n v="2"/>
    <n v="3500"/>
    <s v="North"/>
    <s v="C0347"/>
    <n v="7000"/>
  </r>
  <r>
    <x v="23"/>
    <d v="2024-12-29T01:14:56"/>
    <s v="Headphones"/>
    <n v="3"/>
    <n v="1200"/>
    <s v="West"/>
    <s v="C0301"/>
    <n v="3600"/>
  </r>
  <r>
    <x v="23"/>
    <d v="2024-12-29T12:56:12"/>
    <s v="Keyboard"/>
    <n v="5"/>
    <n v="1200"/>
    <s v="East"/>
    <s v="C0428"/>
    <n v="6000"/>
  </r>
  <r>
    <x v="23"/>
    <d v="2024-12-30T00:37:28"/>
    <s v="Keyboard"/>
    <n v="5"/>
    <n v="1800"/>
    <s v="West"/>
    <s v="C0466"/>
    <n v="9000"/>
  </r>
  <r>
    <x v="23"/>
    <d v="2024-12-30T12:18:44"/>
    <s v="Wireless Mouse"/>
    <n v="5"/>
    <n v="700"/>
    <s v="South"/>
    <s v="C0088"/>
    <n v="3500"/>
  </r>
  <r>
    <x v="23"/>
    <d v="2024-12-31T00:00:00"/>
    <s v="Smart Watch"/>
    <n v="4"/>
    <n v="150"/>
    <s v="East"/>
    <s v="C0371"/>
    <n v="600"/>
  </r>
  <r>
    <x v="24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00">
  <r>
    <s v="Jan-2023"/>
    <d v="2023-01-01T00:00:00"/>
    <s v="Keyboard"/>
    <n v="6"/>
    <n v="150"/>
    <s v="East"/>
    <x v="0"/>
    <n v="900"/>
  </r>
  <r>
    <s v="Jan-2023"/>
    <d v="2023-01-01T11:41:16"/>
    <s v="Headphones"/>
    <n v="2"/>
    <n v="1800"/>
    <s v="North"/>
    <x v="1"/>
    <n v="3600"/>
  </r>
  <r>
    <s v="Jan-2023"/>
    <d v="2023-01-01T23:22:32"/>
    <s v="Wireless Mouse"/>
    <n v="4"/>
    <n v="450"/>
    <s v="West"/>
    <x v="2"/>
    <n v="1800"/>
  </r>
  <r>
    <s v="Jan-2023"/>
    <d v="2023-01-02T11:03:48"/>
    <s v="Headphones"/>
    <n v="3"/>
    <n v="1800"/>
    <s v="West"/>
    <x v="3"/>
    <n v="5400"/>
  </r>
  <r>
    <s v="Jan-2023"/>
    <d v="2023-01-02T22:45:04"/>
    <s v="Headphones"/>
    <n v="5"/>
    <n v="1200"/>
    <s v="East"/>
    <x v="4"/>
    <n v="6000"/>
  </r>
  <r>
    <s v="Jan-2023"/>
    <d v="2023-01-03T10:26:20"/>
    <s v="Laptop Bag"/>
    <n v="4"/>
    <n v="3500"/>
    <s v="North"/>
    <x v="5"/>
    <n v="14000"/>
  </r>
  <r>
    <s v="Jan-2023"/>
    <d v="2023-01-03T22:07:36"/>
    <s v="Wireless Mouse"/>
    <n v="3"/>
    <n v="450"/>
    <s v="East"/>
    <x v="6"/>
    <n v="1350"/>
  </r>
  <r>
    <s v="Jan-2023"/>
    <d v="2023-01-04T09:48:52"/>
    <s v="Wireless Mouse"/>
    <n v="3"/>
    <n v="1200"/>
    <s v="West"/>
    <x v="7"/>
    <n v="3600"/>
  </r>
  <r>
    <s v="Jan-2023"/>
    <d v="2023-01-04T21:30:08"/>
    <s v="Wireless Mouse"/>
    <n v="1"/>
    <n v="3500"/>
    <s v="North"/>
    <x v="8"/>
    <n v="3500"/>
  </r>
  <r>
    <s v="Jan-2023"/>
    <d v="2023-01-05T09:11:24"/>
    <s v="Headphones"/>
    <n v="5"/>
    <n v="450"/>
    <s v="North"/>
    <x v="9"/>
    <n v="2250"/>
  </r>
  <r>
    <s v="Jan-2023"/>
    <d v="2023-01-05T20:52:41"/>
    <s v="Keyboard"/>
    <n v="1"/>
    <n v="700"/>
    <s v="East"/>
    <x v="10"/>
    <n v="700"/>
  </r>
  <r>
    <s v="Jan-2023"/>
    <d v="2023-01-06T08:33:57"/>
    <s v="Wireless Mouse"/>
    <n v="2"/>
    <n v="150"/>
    <s v="South"/>
    <x v="11"/>
    <n v="300"/>
  </r>
  <r>
    <s v="Jan-2023"/>
    <d v="2023-01-06T20:15:13"/>
    <s v="Smart Watch"/>
    <n v="1"/>
    <n v="150"/>
    <s v="East"/>
    <x v="12"/>
    <n v="150"/>
  </r>
  <r>
    <s v="Jan-2023"/>
    <d v="2023-01-07T07:56:29"/>
    <s v="Headphones"/>
    <n v="1"/>
    <n v="1200"/>
    <s v="West"/>
    <x v="13"/>
    <n v="1200"/>
  </r>
  <r>
    <s v="Jan-2023"/>
    <d v="2023-01-07T19:37:45"/>
    <s v="Laptop Bag"/>
    <n v="4"/>
    <n v="3500"/>
    <s v="West"/>
    <x v="14"/>
    <n v="14000"/>
  </r>
  <r>
    <s v="Jan-2023"/>
    <d v="2023-01-08T07:19:01"/>
    <s v="Keyboard"/>
    <n v="6"/>
    <n v="150"/>
    <s v="West"/>
    <x v="15"/>
    <n v="900"/>
  </r>
  <r>
    <s v="Jan-2023"/>
    <d v="2023-01-08T19:00:17"/>
    <s v="Smart Watch"/>
    <n v="3"/>
    <n v="3500"/>
    <s v="West"/>
    <x v="16"/>
    <n v="10500"/>
  </r>
  <r>
    <s v="Jan-2023"/>
    <d v="2023-01-09T06:41:33"/>
    <s v="Smart Watch"/>
    <n v="5"/>
    <n v="3500"/>
    <s v="West"/>
    <x v="17"/>
    <n v="17500"/>
  </r>
  <r>
    <s v="Jan-2023"/>
    <d v="2023-01-09T18:22:49"/>
    <s v="Laptop Bag"/>
    <n v="1"/>
    <n v="1200"/>
    <s v="South"/>
    <x v="18"/>
    <n v="1200"/>
  </r>
  <r>
    <s v="Jan-2023"/>
    <d v="2023-01-10T06:04:05"/>
    <s v="Keyboard"/>
    <n v="5"/>
    <n v="1200"/>
    <s v="North"/>
    <x v="19"/>
    <n v="6000"/>
  </r>
  <r>
    <s v="Jan-2023"/>
    <d v="2023-01-10T17:45:21"/>
    <s v="Headphones"/>
    <n v="6"/>
    <n v="1200"/>
    <s v="East"/>
    <x v="20"/>
    <n v="7200"/>
  </r>
  <r>
    <s v="Jan-2023"/>
    <d v="2023-01-11T05:26:37"/>
    <s v="Mobile Cover"/>
    <n v="6"/>
    <n v="150"/>
    <s v="East"/>
    <x v="21"/>
    <n v="900"/>
  </r>
  <r>
    <s v="Jan-2023"/>
    <d v="2023-01-11T17:07:53"/>
    <s v="Keyboard"/>
    <n v="1"/>
    <n v="1200"/>
    <s v="West"/>
    <x v="22"/>
    <n v="1200"/>
  </r>
  <r>
    <s v="Jan-2023"/>
    <d v="2023-01-12T04:49:09"/>
    <s v="Laptop Bag"/>
    <n v="2"/>
    <n v="150"/>
    <s v="East"/>
    <x v="23"/>
    <n v="300"/>
  </r>
  <r>
    <s v="Jan-2023"/>
    <d v="2023-01-12T16:30:25"/>
    <s v="Smart Watch"/>
    <n v="1"/>
    <n v="1200"/>
    <s v="West"/>
    <x v="24"/>
    <n v="1200"/>
  </r>
  <r>
    <s v="Jan-2023"/>
    <d v="2023-01-13T04:11:41"/>
    <s v="Headphones"/>
    <n v="4"/>
    <n v="1800"/>
    <s v="South"/>
    <x v="25"/>
    <n v="7200"/>
  </r>
  <r>
    <s v="Jan-2023"/>
    <d v="2023-01-13T15:52:57"/>
    <s v="Keyboard"/>
    <n v="3"/>
    <n v="3500"/>
    <s v="South"/>
    <x v="5"/>
    <n v="10500"/>
  </r>
  <r>
    <s v="Jan-2023"/>
    <d v="2023-01-14T03:34:13"/>
    <s v="Mobile Cover"/>
    <n v="2"/>
    <n v="1200"/>
    <s v="North"/>
    <x v="26"/>
    <n v="2400"/>
  </r>
  <r>
    <s v="Jan-2023"/>
    <d v="2023-01-14T15:15:29"/>
    <s v="Mobile Cover"/>
    <n v="1"/>
    <n v="450"/>
    <s v="South"/>
    <x v="27"/>
    <n v="450"/>
  </r>
  <r>
    <s v="Jan-2023"/>
    <d v="2023-01-15T02:56:45"/>
    <s v="Wireless Mouse"/>
    <n v="5"/>
    <n v="3500"/>
    <s v="South"/>
    <x v="16"/>
    <n v="17500"/>
  </r>
  <r>
    <s v="Jan-2023"/>
    <d v="2023-01-15T14:38:02"/>
    <s v="Wireless Mouse"/>
    <n v="2"/>
    <n v="3500"/>
    <s v="North"/>
    <x v="28"/>
    <n v="7000"/>
  </r>
  <r>
    <s v="Jan-2023"/>
    <d v="2023-01-16T02:19:18"/>
    <s v="Laptop Bag"/>
    <n v="2"/>
    <n v="1200"/>
    <s v="East"/>
    <x v="29"/>
    <n v="2400"/>
  </r>
  <r>
    <s v="Jan-2023"/>
    <d v="2023-01-16T14:00:34"/>
    <s v="Keyboard"/>
    <n v="1"/>
    <n v="700"/>
    <s v="West"/>
    <x v="30"/>
    <n v="700"/>
  </r>
  <r>
    <s v="Jan-2023"/>
    <d v="2023-01-17T01:41:50"/>
    <s v="Keyboard"/>
    <n v="2"/>
    <n v="1200"/>
    <s v="West"/>
    <x v="31"/>
    <n v="2400"/>
  </r>
  <r>
    <s v="Jan-2023"/>
    <d v="2023-01-17T13:23:06"/>
    <s v="Smart Watch"/>
    <n v="5"/>
    <n v="3500"/>
    <s v="East"/>
    <x v="32"/>
    <n v="17500"/>
  </r>
  <r>
    <s v="Jan-2023"/>
    <d v="2023-01-18T01:04:22"/>
    <s v="Smart Watch"/>
    <n v="6"/>
    <n v="450"/>
    <s v="North"/>
    <x v="33"/>
    <n v="2700"/>
  </r>
  <r>
    <s v="Jan-2023"/>
    <d v="2023-01-18T12:45:38"/>
    <s v="Smart Watch"/>
    <n v="2"/>
    <n v="3500"/>
    <s v="East"/>
    <x v="34"/>
    <n v="7000"/>
  </r>
  <r>
    <s v="Jan-2023"/>
    <d v="2023-01-19T00:26:54"/>
    <s v="Wireless Mouse"/>
    <n v="6"/>
    <n v="450"/>
    <s v="South"/>
    <x v="35"/>
    <n v="2700"/>
  </r>
  <r>
    <s v="Jan-2023"/>
    <d v="2023-01-19T12:08:10"/>
    <s v="Keyboard"/>
    <n v="5"/>
    <n v="150"/>
    <s v="North"/>
    <x v="36"/>
    <n v="750"/>
  </r>
  <r>
    <s v="Jan-2023"/>
    <d v="2023-01-19T23:49:26"/>
    <s v="Keyboard"/>
    <n v="1"/>
    <n v="1800"/>
    <s v="North"/>
    <x v="37"/>
    <n v="1800"/>
  </r>
  <r>
    <s v="Jan-2023"/>
    <d v="2023-01-20T11:30:42"/>
    <s v="Mobile Cover"/>
    <n v="3"/>
    <n v="3500"/>
    <s v="North"/>
    <x v="38"/>
    <n v="10500"/>
  </r>
  <r>
    <s v="Jan-2023"/>
    <d v="2023-01-20T23:11:58"/>
    <s v="Wireless Mouse"/>
    <n v="2"/>
    <n v="1200"/>
    <s v="West"/>
    <x v="39"/>
    <n v="2400"/>
  </r>
  <r>
    <s v="Jan-2023"/>
    <d v="2023-01-21T10:53:14"/>
    <s v="Headphones"/>
    <n v="3"/>
    <n v="150"/>
    <s v="East"/>
    <x v="40"/>
    <n v="450"/>
  </r>
  <r>
    <s v="Jan-2023"/>
    <d v="2023-01-21T22:34:30"/>
    <s v="Wireless Mouse"/>
    <n v="5"/>
    <n v="1800"/>
    <s v="North"/>
    <x v="41"/>
    <n v="9000"/>
  </r>
  <r>
    <s v="Jan-2023"/>
    <d v="2023-01-22T10:15:46"/>
    <s v="Headphones"/>
    <n v="2"/>
    <n v="1200"/>
    <s v="North"/>
    <x v="4"/>
    <n v="2400"/>
  </r>
  <r>
    <s v="Jan-2023"/>
    <d v="2023-01-22T21:57:02"/>
    <s v="Mobile Cover"/>
    <n v="6"/>
    <n v="700"/>
    <s v="North"/>
    <x v="42"/>
    <n v="4200"/>
  </r>
  <r>
    <s v="Jan-2023"/>
    <d v="2023-01-23T09:38:18"/>
    <s v="Laptop Bag"/>
    <n v="4"/>
    <n v="1200"/>
    <s v="East"/>
    <x v="43"/>
    <n v="4800"/>
  </r>
  <r>
    <s v="Jan-2023"/>
    <d v="2023-01-23T21:19:34"/>
    <s v="Keyboard"/>
    <n v="3"/>
    <n v="450"/>
    <s v="West"/>
    <x v="44"/>
    <n v="1350"/>
  </r>
  <r>
    <s v="Jan-2023"/>
    <d v="2023-01-24T09:00:50"/>
    <s v="Mobile Cover"/>
    <n v="2"/>
    <n v="450"/>
    <s v="South"/>
    <x v="45"/>
    <n v="900"/>
  </r>
  <r>
    <s v="Jan-2023"/>
    <d v="2023-01-24T20:42:06"/>
    <s v="Keyboard"/>
    <n v="3"/>
    <n v="700"/>
    <s v="West"/>
    <x v="46"/>
    <n v="2100"/>
  </r>
  <r>
    <s v="Jan-2023"/>
    <d v="2023-01-25T08:23:23"/>
    <s v="Smart Watch"/>
    <n v="2"/>
    <n v="150"/>
    <s v="North"/>
    <x v="47"/>
    <n v="300"/>
  </r>
  <r>
    <s v="Jan-2023"/>
    <d v="2023-01-25T20:04:39"/>
    <s v="Laptop Bag"/>
    <n v="1"/>
    <n v="1800"/>
    <s v="West"/>
    <x v="48"/>
    <n v="1800"/>
  </r>
  <r>
    <s v="Jan-2023"/>
    <d v="2023-01-26T07:45:55"/>
    <s v="Laptop Bag"/>
    <n v="6"/>
    <n v="1200"/>
    <s v="West"/>
    <x v="49"/>
    <n v="7200"/>
  </r>
  <r>
    <s v="Jan-2023"/>
    <d v="2023-01-26T19:27:11"/>
    <s v="Mobile Cover"/>
    <n v="3"/>
    <n v="450"/>
    <s v="South"/>
    <x v="50"/>
    <n v="1350"/>
  </r>
  <r>
    <s v="Jan-2023"/>
    <d v="2023-01-27T07:08:27"/>
    <s v="Laptop Bag"/>
    <n v="4"/>
    <n v="150"/>
    <s v="East"/>
    <x v="51"/>
    <n v="600"/>
  </r>
  <r>
    <s v="Jan-2023"/>
    <d v="2023-01-27T18:49:43"/>
    <s v="Headphones"/>
    <n v="4"/>
    <n v="700"/>
    <s v="East"/>
    <x v="52"/>
    <n v="2800"/>
  </r>
  <r>
    <s v="Jan-2023"/>
    <d v="2023-01-28T06:30:59"/>
    <s v="Laptop Bag"/>
    <n v="5"/>
    <n v="3500"/>
    <s v="West"/>
    <x v="53"/>
    <n v="17500"/>
  </r>
  <r>
    <s v="Jan-2023"/>
    <d v="2023-01-28T18:12:15"/>
    <s v="Keyboard"/>
    <n v="2"/>
    <n v="450"/>
    <s v="West"/>
    <x v="14"/>
    <n v="900"/>
  </r>
  <r>
    <s v="Jan-2023"/>
    <d v="2023-01-29T05:53:31"/>
    <s v="Keyboard"/>
    <n v="3"/>
    <n v="700"/>
    <s v="East"/>
    <x v="54"/>
    <n v="2100"/>
  </r>
  <r>
    <s v="Jan-2023"/>
    <d v="2023-01-29T17:34:47"/>
    <s v="Keyboard"/>
    <n v="5"/>
    <n v="1200"/>
    <s v="East"/>
    <x v="55"/>
    <n v="6000"/>
  </r>
  <r>
    <s v="Jan-2023"/>
    <d v="2023-01-30T05:16:03"/>
    <s v="Keyboard"/>
    <n v="3"/>
    <n v="1800"/>
    <s v="South"/>
    <x v="56"/>
    <n v="5400"/>
  </r>
  <r>
    <s v="Jan-2023"/>
    <d v="2023-01-30T16:57:19"/>
    <s v="Headphones"/>
    <n v="2"/>
    <n v="450"/>
    <s v="North"/>
    <x v="39"/>
    <n v="900"/>
  </r>
  <r>
    <s v="Jan-2023"/>
    <d v="2023-01-31T04:38:35"/>
    <s v="Wireless Mouse"/>
    <n v="4"/>
    <n v="450"/>
    <s v="West"/>
    <x v="57"/>
    <n v="1800"/>
  </r>
  <r>
    <s v="Jan-2023"/>
    <d v="2023-01-31T16:19:51"/>
    <s v="Smart Watch"/>
    <n v="1"/>
    <n v="1200"/>
    <s v="East"/>
    <x v="58"/>
    <n v="1200"/>
  </r>
  <r>
    <s v="Feb-2023"/>
    <d v="2023-02-01T04:01:07"/>
    <s v="Mobile Cover"/>
    <n v="4"/>
    <n v="3500"/>
    <s v="West"/>
    <x v="59"/>
    <n v="14000"/>
  </r>
  <r>
    <s v="Feb-2023"/>
    <d v="2023-02-01T15:42:23"/>
    <s v="Keyboard"/>
    <n v="5"/>
    <n v="150"/>
    <s v="West"/>
    <x v="60"/>
    <n v="750"/>
  </r>
  <r>
    <s v="Feb-2023"/>
    <d v="2023-02-02T03:23:39"/>
    <s v="Laptop Bag"/>
    <n v="6"/>
    <n v="1800"/>
    <s v="East"/>
    <x v="61"/>
    <n v="10800"/>
  </r>
  <r>
    <s v="Feb-2023"/>
    <d v="2023-02-02T15:04:55"/>
    <s v="Keyboard"/>
    <n v="1"/>
    <n v="450"/>
    <s v="South"/>
    <x v="62"/>
    <n v="450"/>
  </r>
  <r>
    <s v="Feb-2023"/>
    <d v="2023-02-03T02:46:11"/>
    <s v="Laptop Bag"/>
    <n v="5"/>
    <n v="1800"/>
    <s v="West"/>
    <x v="63"/>
    <n v="9000"/>
  </r>
  <r>
    <s v="Feb-2023"/>
    <d v="2023-02-03T14:27:27"/>
    <s v="Smart Watch"/>
    <n v="2"/>
    <n v="450"/>
    <s v="South"/>
    <x v="59"/>
    <n v="900"/>
  </r>
  <r>
    <s v="Feb-2023"/>
    <d v="2023-02-04T02:08:44"/>
    <s v="Smart Watch"/>
    <n v="1"/>
    <n v="1800"/>
    <s v="East"/>
    <x v="64"/>
    <n v="1800"/>
  </r>
  <r>
    <s v="Feb-2023"/>
    <d v="2023-02-04T13:50:00"/>
    <s v="Smart Watch"/>
    <n v="5"/>
    <n v="700"/>
    <s v="North"/>
    <x v="65"/>
    <n v="3500"/>
  </r>
  <r>
    <s v="Feb-2023"/>
    <d v="2023-02-05T01:31:16"/>
    <s v="Laptop Bag"/>
    <n v="2"/>
    <n v="450"/>
    <s v="North"/>
    <x v="66"/>
    <n v="900"/>
  </r>
  <r>
    <s v="Feb-2023"/>
    <d v="2023-02-05T13:12:32"/>
    <s v="Keyboard"/>
    <n v="4"/>
    <n v="1800"/>
    <s v="West"/>
    <x v="67"/>
    <n v="7200"/>
  </r>
  <r>
    <s v="Feb-2023"/>
    <d v="2023-02-06T00:53:48"/>
    <s v="Smart Watch"/>
    <n v="6"/>
    <n v="150"/>
    <s v="East"/>
    <x v="68"/>
    <n v="900"/>
  </r>
  <r>
    <s v="Feb-2023"/>
    <d v="2023-02-06T12:35:04"/>
    <s v="Headphones"/>
    <n v="2"/>
    <n v="700"/>
    <s v="South"/>
    <x v="69"/>
    <n v="1400"/>
  </r>
  <r>
    <s v="Feb-2023"/>
    <d v="2023-02-07T00:16:20"/>
    <s v="Laptop Bag"/>
    <n v="3"/>
    <n v="700"/>
    <s v="West"/>
    <x v="70"/>
    <n v="2100"/>
  </r>
  <r>
    <s v="Feb-2023"/>
    <d v="2023-02-07T11:57:36"/>
    <s v="Laptop Bag"/>
    <n v="2"/>
    <n v="150"/>
    <s v="East"/>
    <x v="71"/>
    <n v="300"/>
  </r>
  <r>
    <s v="Feb-2023"/>
    <d v="2023-02-07T23:38:52"/>
    <s v="Keyboard"/>
    <n v="2"/>
    <n v="1800"/>
    <s v="East"/>
    <x v="72"/>
    <n v="3600"/>
  </r>
  <r>
    <s v="Feb-2023"/>
    <d v="2023-02-08T11:20:08"/>
    <s v="Laptop Bag"/>
    <n v="6"/>
    <n v="1200"/>
    <s v="South"/>
    <x v="73"/>
    <n v="7200"/>
  </r>
  <r>
    <s v="Feb-2023"/>
    <d v="2023-02-08T23:01:24"/>
    <s v="Laptop Bag"/>
    <n v="3"/>
    <n v="150"/>
    <s v="West"/>
    <x v="74"/>
    <n v="450"/>
  </r>
  <r>
    <s v="Feb-2023"/>
    <d v="2023-02-09T10:42:40"/>
    <s v="Smart Watch"/>
    <n v="5"/>
    <n v="1800"/>
    <s v="East"/>
    <x v="75"/>
    <n v="9000"/>
  </r>
  <r>
    <s v="Feb-2023"/>
    <d v="2023-02-09T22:23:56"/>
    <s v="Keyboard"/>
    <n v="5"/>
    <n v="150"/>
    <s v="East"/>
    <x v="76"/>
    <n v="750"/>
  </r>
  <r>
    <s v="Feb-2023"/>
    <d v="2023-02-10T10:05:12"/>
    <s v="Smart Watch"/>
    <n v="2"/>
    <n v="150"/>
    <s v="East"/>
    <x v="77"/>
    <n v="300"/>
  </r>
  <r>
    <s v="Feb-2023"/>
    <d v="2023-02-10T21:46:28"/>
    <s v="Smart Watch"/>
    <n v="3"/>
    <n v="450"/>
    <s v="South"/>
    <x v="62"/>
    <n v="1350"/>
  </r>
  <r>
    <s v="Feb-2023"/>
    <d v="2023-02-11T09:27:44"/>
    <s v="Keyboard"/>
    <n v="3"/>
    <n v="1800"/>
    <s v="West"/>
    <x v="78"/>
    <n v="5400"/>
  </r>
  <r>
    <s v="Feb-2023"/>
    <d v="2023-02-11T21:09:00"/>
    <s v="Mobile Cover"/>
    <n v="6"/>
    <n v="1200"/>
    <s v="West"/>
    <x v="79"/>
    <n v="7200"/>
  </r>
  <r>
    <s v="Feb-2023"/>
    <d v="2023-02-12T08:50:16"/>
    <s v="Smart Watch"/>
    <n v="4"/>
    <n v="450"/>
    <s v="West"/>
    <x v="80"/>
    <n v="1800"/>
  </r>
  <r>
    <s v="Feb-2023"/>
    <d v="2023-02-12T20:31:32"/>
    <s v="Headphones"/>
    <n v="5"/>
    <n v="150"/>
    <s v="West"/>
    <x v="81"/>
    <n v="750"/>
  </r>
  <r>
    <s v="Feb-2023"/>
    <d v="2023-02-13T08:12:49"/>
    <s v="Headphones"/>
    <n v="6"/>
    <n v="3500"/>
    <s v="North"/>
    <x v="82"/>
    <n v="21000"/>
  </r>
  <r>
    <s v="Feb-2023"/>
    <d v="2023-02-13T19:54:05"/>
    <s v="Laptop Bag"/>
    <n v="1"/>
    <n v="150"/>
    <s v="North"/>
    <x v="83"/>
    <n v="150"/>
  </r>
  <r>
    <s v="Feb-2023"/>
    <d v="2023-02-14T07:35:21"/>
    <s v="Headphones"/>
    <n v="5"/>
    <n v="150"/>
    <s v="West"/>
    <x v="84"/>
    <n v="750"/>
  </r>
  <r>
    <s v="Feb-2023"/>
    <d v="2023-02-14T19:16:37"/>
    <s v="Laptop Bag"/>
    <n v="6"/>
    <n v="1800"/>
    <s v="South"/>
    <x v="85"/>
    <n v="10800"/>
  </r>
  <r>
    <s v="Feb-2023"/>
    <d v="2023-02-15T06:57:53"/>
    <s v="Mobile Cover"/>
    <n v="5"/>
    <n v="1800"/>
    <s v="North"/>
    <x v="86"/>
    <n v="9000"/>
  </r>
  <r>
    <s v="Feb-2023"/>
    <d v="2023-02-15T18:39:09"/>
    <s v="Keyboard"/>
    <n v="4"/>
    <n v="450"/>
    <s v="East"/>
    <x v="87"/>
    <n v="1800"/>
  </r>
  <r>
    <s v="Feb-2023"/>
    <d v="2023-02-16T06:20:25"/>
    <s v="Keyboard"/>
    <n v="1"/>
    <n v="1200"/>
    <s v="North"/>
    <x v="34"/>
    <n v="1200"/>
  </r>
  <r>
    <s v="Feb-2023"/>
    <d v="2023-02-16T18:01:41"/>
    <s v="Keyboard"/>
    <n v="4"/>
    <n v="450"/>
    <s v="East"/>
    <x v="88"/>
    <n v="1800"/>
  </r>
  <r>
    <s v="Feb-2023"/>
    <d v="2023-02-17T05:42:57"/>
    <s v="Headphones"/>
    <n v="1"/>
    <n v="700"/>
    <s v="West"/>
    <x v="89"/>
    <n v="700"/>
  </r>
  <r>
    <s v="Feb-2023"/>
    <d v="2023-02-17T17:24:13"/>
    <s v="Mobile Cover"/>
    <n v="2"/>
    <n v="150"/>
    <s v="North"/>
    <x v="90"/>
    <n v="300"/>
  </r>
  <r>
    <s v="Feb-2023"/>
    <d v="2023-02-18T05:05:29"/>
    <s v="Headphones"/>
    <n v="6"/>
    <n v="3500"/>
    <s v="South"/>
    <x v="91"/>
    <n v="21000"/>
  </r>
  <r>
    <s v="Feb-2023"/>
    <d v="2023-02-18T16:46:45"/>
    <s v="Headphones"/>
    <n v="1"/>
    <n v="150"/>
    <s v="North"/>
    <x v="31"/>
    <n v="150"/>
  </r>
  <r>
    <s v="Feb-2023"/>
    <d v="2023-02-19T04:28:01"/>
    <s v="Mobile Cover"/>
    <n v="4"/>
    <n v="150"/>
    <s v="North"/>
    <x v="92"/>
    <n v="600"/>
  </r>
  <r>
    <s v="Feb-2023"/>
    <d v="2023-02-19T16:09:17"/>
    <s v="Mobile Cover"/>
    <n v="5"/>
    <n v="450"/>
    <s v="North"/>
    <x v="16"/>
    <n v="2250"/>
  </r>
  <r>
    <s v="Feb-2023"/>
    <d v="2023-02-20T03:50:33"/>
    <s v="Mobile Cover"/>
    <n v="1"/>
    <n v="3500"/>
    <s v="West"/>
    <x v="93"/>
    <n v="3500"/>
  </r>
  <r>
    <s v="Feb-2023"/>
    <d v="2023-02-20T15:31:49"/>
    <s v="Mobile Cover"/>
    <n v="6"/>
    <n v="3500"/>
    <s v="South"/>
    <x v="75"/>
    <n v="21000"/>
  </r>
  <r>
    <s v="Feb-2023"/>
    <d v="2023-02-21T03:13:05"/>
    <s v="Keyboard"/>
    <n v="1"/>
    <n v="3500"/>
    <s v="North"/>
    <x v="94"/>
    <n v="3500"/>
  </r>
  <r>
    <s v="Feb-2023"/>
    <d v="2023-02-21T14:54:21"/>
    <s v="Wireless Mouse"/>
    <n v="3"/>
    <n v="450"/>
    <s v="South"/>
    <x v="95"/>
    <n v="1350"/>
  </r>
  <r>
    <s v="Feb-2023"/>
    <d v="2023-02-22T02:35:37"/>
    <s v="Wireless Mouse"/>
    <n v="5"/>
    <n v="150"/>
    <s v="West"/>
    <x v="51"/>
    <n v="750"/>
  </r>
  <r>
    <s v="Feb-2023"/>
    <d v="2023-02-22T14:16:53"/>
    <s v="Mobile Cover"/>
    <n v="6"/>
    <n v="450"/>
    <s v="East"/>
    <x v="96"/>
    <n v="2700"/>
  </r>
  <r>
    <s v="Feb-2023"/>
    <d v="2023-02-23T01:58:10"/>
    <s v="Wireless Mouse"/>
    <n v="6"/>
    <n v="1800"/>
    <s v="North"/>
    <x v="97"/>
    <n v="10800"/>
  </r>
  <r>
    <s v="Feb-2023"/>
    <d v="2023-02-23T13:39:26"/>
    <s v="Wireless Mouse"/>
    <n v="2"/>
    <n v="1800"/>
    <s v="South"/>
    <x v="98"/>
    <n v="3600"/>
  </r>
  <r>
    <s v="Feb-2023"/>
    <d v="2023-02-24T01:20:42"/>
    <s v="Mobile Cover"/>
    <n v="4"/>
    <n v="450"/>
    <s v="South"/>
    <x v="99"/>
    <n v="1800"/>
  </r>
  <r>
    <s v="Feb-2023"/>
    <d v="2023-02-24T13:01:58"/>
    <s v="Wireless Mouse"/>
    <n v="2"/>
    <n v="3500"/>
    <s v="West"/>
    <x v="59"/>
    <n v="7000"/>
  </r>
  <r>
    <s v="Feb-2023"/>
    <d v="2023-02-25T00:43:14"/>
    <s v="Headphones"/>
    <n v="6"/>
    <n v="150"/>
    <s v="North"/>
    <x v="100"/>
    <n v="900"/>
  </r>
  <r>
    <s v="Feb-2023"/>
    <d v="2023-02-25T12:24:30"/>
    <s v="Laptop Bag"/>
    <n v="5"/>
    <n v="450"/>
    <s v="East"/>
    <x v="101"/>
    <n v="2250"/>
  </r>
  <r>
    <s v="Feb-2023"/>
    <d v="2023-02-26T00:05:46"/>
    <s v="Laptop Bag"/>
    <n v="1"/>
    <n v="450"/>
    <s v="South"/>
    <x v="102"/>
    <n v="450"/>
  </r>
  <r>
    <s v="Feb-2023"/>
    <d v="2023-02-26T11:47:02"/>
    <s v="Mobile Cover"/>
    <n v="1"/>
    <n v="450"/>
    <s v="North"/>
    <x v="76"/>
    <n v="450"/>
  </r>
  <r>
    <s v="Feb-2023"/>
    <d v="2023-02-26T23:28:18"/>
    <s v="Keyboard"/>
    <n v="5"/>
    <n v="700"/>
    <s v="East"/>
    <x v="103"/>
    <n v="3500"/>
  </r>
  <r>
    <s v="Feb-2023"/>
    <d v="2023-02-27T11:09:34"/>
    <s v="Mobile Cover"/>
    <n v="6"/>
    <n v="1800"/>
    <s v="South"/>
    <x v="104"/>
    <n v="10800"/>
  </r>
  <r>
    <s v="Feb-2023"/>
    <d v="2023-02-27T22:50:50"/>
    <s v="Keyboard"/>
    <n v="1"/>
    <n v="3500"/>
    <s v="South"/>
    <x v="80"/>
    <n v="3500"/>
  </r>
  <r>
    <s v="Feb-2023"/>
    <d v="2023-02-28T10:32:06"/>
    <s v="Laptop Bag"/>
    <n v="1"/>
    <n v="1200"/>
    <s v="East"/>
    <x v="4"/>
    <n v="1200"/>
  </r>
  <r>
    <s v="Feb-2023"/>
    <d v="2023-02-28T22:13:22"/>
    <s v="Mobile Cover"/>
    <n v="1"/>
    <n v="3500"/>
    <s v="East"/>
    <x v="105"/>
    <n v="3500"/>
  </r>
  <r>
    <s v="Mar-2023"/>
    <d v="2023-03-01T09:54:38"/>
    <s v="Smart Watch"/>
    <n v="4"/>
    <n v="1200"/>
    <s v="West"/>
    <x v="106"/>
    <n v="4800"/>
  </r>
  <r>
    <s v="Mar-2023"/>
    <d v="2023-03-01T21:35:54"/>
    <s v="Headphones"/>
    <n v="4"/>
    <n v="700"/>
    <s v="North"/>
    <x v="107"/>
    <n v="2800"/>
  </r>
  <r>
    <s v="Mar-2023"/>
    <d v="2023-03-02T09:17:10"/>
    <s v="Wireless Mouse"/>
    <n v="3"/>
    <n v="450"/>
    <s v="North"/>
    <x v="108"/>
    <n v="1350"/>
  </r>
  <r>
    <s v="Mar-2023"/>
    <d v="2023-03-02T20:58:26"/>
    <s v="Keyboard"/>
    <n v="2"/>
    <n v="700"/>
    <s v="West"/>
    <x v="109"/>
    <n v="1400"/>
  </r>
  <r>
    <s v="Mar-2023"/>
    <d v="2023-03-03T08:39:42"/>
    <s v="Smart Watch"/>
    <n v="5"/>
    <n v="700"/>
    <s v="South"/>
    <x v="110"/>
    <n v="3500"/>
  </r>
  <r>
    <s v="Mar-2023"/>
    <d v="2023-03-03T20:20:58"/>
    <s v="Wireless Mouse"/>
    <n v="5"/>
    <n v="150"/>
    <s v="East"/>
    <x v="111"/>
    <n v="750"/>
  </r>
  <r>
    <s v="Mar-2023"/>
    <d v="2023-03-04T08:02:14"/>
    <s v="Wireless Mouse"/>
    <n v="5"/>
    <n v="1800"/>
    <s v="East"/>
    <x v="112"/>
    <n v="9000"/>
  </r>
  <r>
    <s v="Mar-2023"/>
    <d v="2023-03-04T19:43:31"/>
    <s v="Mobile Cover"/>
    <n v="3"/>
    <n v="1200"/>
    <s v="East"/>
    <x v="113"/>
    <n v="3600"/>
  </r>
  <r>
    <s v="Mar-2023"/>
    <d v="2023-03-05T07:24:47"/>
    <s v="Wireless Mouse"/>
    <n v="4"/>
    <n v="450"/>
    <s v="South"/>
    <x v="114"/>
    <n v="1800"/>
  </r>
  <r>
    <s v="Mar-2023"/>
    <d v="2023-03-05T19:06:03"/>
    <s v="Headphones"/>
    <n v="6"/>
    <n v="1200"/>
    <s v="East"/>
    <x v="115"/>
    <n v="7200"/>
  </r>
  <r>
    <s v="Mar-2023"/>
    <d v="2023-03-06T06:47:19"/>
    <s v="Smart Watch"/>
    <n v="6"/>
    <n v="3500"/>
    <s v="East"/>
    <x v="116"/>
    <n v="21000"/>
  </r>
  <r>
    <s v="Mar-2023"/>
    <d v="2023-03-06T18:28:35"/>
    <s v="Wireless Mouse"/>
    <n v="3"/>
    <n v="1200"/>
    <s v="West"/>
    <x v="106"/>
    <n v="3600"/>
  </r>
  <r>
    <s v="Mar-2023"/>
    <d v="2023-03-07T06:09:51"/>
    <s v="Mobile Cover"/>
    <n v="6"/>
    <n v="3500"/>
    <s v="South"/>
    <x v="46"/>
    <n v="21000"/>
  </r>
  <r>
    <s v="Mar-2023"/>
    <d v="2023-03-07T17:51:07"/>
    <s v="Headphones"/>
    <n v="5"/>
    <n v="1800"/>
    <s v="North"/>
    <x v="75"/>
    <n v="9000"/>
  </r>
  <r>
    <s v="Mar-2023"/>
    <d v="2023-03-08T05:32:23"/>
    <s v="Laptop Bag"/>
    <n v="2"/>
    <n v="3500"/>
    <s v="West"/>
    <x v="30"/>
    <n v="7000"/>
  </r>
  <r>
    <s v="Mar-2023"/>
    <d v="2023-03-08T17:13:39"/>
    <s v="Smart Watch"/>
    <n v="1"/>
    <n v="1200"/>
    <s v="West"/>
    <x v="55"/>
    <n v="1200"/>
  </r>
  <r>
    <s v="Mar-2023"/>
    <d v="2023-03-09T04:54:55"/>
    <s v="Wireless Mouse"/>
    <n v="4"/>
    <n v="1200"/>
    <s v="North"/>
    <x v="117"/>
    <n v="4800"/>
  </r>
  <r>
    <s v="Mar-2023"/>
    <d v="2023-03-09T16:36:11"/>
    <s v="Mobile Cover"/>
    <n v="4"/>
    <n v="3500"/>
    <s v="West"/>
    <x v="118"/>
    <n v="14000"/>
  </r>
  <r>
    <s v="Mar-2023"/>
    <d v="2023-03-10T04:17:27"/>
    <s v="Laptop Bag"/>
    <n v="3"/>
    <n v="700"/>
    <s v="South"/>
    <x v="119"/>
    <n v="2100"/>
  </r>
  <r>
    <s v="Mar-2023"/>
    <d v="2023-03-10T15:58:43"/>
    <s v="Laptop Bag"/>
    <n v="4"/>
    <n v="1800"/>
    <s v="East"/>
    <x v="120"/>
    <n v="7200"/>
  </r>
  <r>
    <s v="Mar-2023"/>
    <d v="2023-03-11T03:39:59"/>
    <s v="Keyboard"/>
    <n v="5"/>
    <n v="150"/>
    <s v="South"/>
    <x v="30"/>
    <n v="750"/>
  </r>
  <r>
    <s v="Mar-2023"/>
    <d v="2023-03-11T15:21:15"/>
    <s v="Headphones"/>
    <n v="6"/>
    <n v="450"/>
    <s v="North"/>
    <x v="121"/>
    <n v="2700"/>
  </r>
  <r>
    <s v="Mar-2023"/>
    <d v="2023-03-12T03:02:31"/>
    <s v="Wireless Mouse"/>
    <n v="5"/>
    <n v="1200"/>
    <s v="North"/>
    <x v="122"/>
    <n v="6000"/>
  </r>
  <r>
    <s v="Mar-2023"/>
    <d v="2023-03-12T14:43:47"/>
    <s v="Mobile Cover"/>
    <n v="3"/>
    <n v="450"/>
    <s v="West"/>
    <x v="123"/>
    <n v="1350"/>
  </r>
  <r>
    <s v="Mar-2023"/>
    <d v="2023-03-13T02:25:03"/>
    <s v="Keyboard"/>
    <n v="5"/>
    <n v="150"/>
    <s v="South"/>
    <x v="38"/>
    <n v="750"/>
  </r>
  <r>
    <s v="Mar-2023"/>
    <d v="2023-03-13T14:06:19"/>
    <s v="Headphones"/>
    <n v="6"/>
    <n v="450"/>
    <s v="South"/>
    <x v="124"/>
    <n v="2700"/>
  </r>
  <r>
    <s v="Mar-2023"/>
    <d v="2023-03-14T01:47:36"/>
    <s v="Keyboard"/>
    <n v="2"/>
    <n v="150"/>
    <s v="North"/>
    <x v="125"/>
    <n v="300"/>
  </r>
  <r>
    <s v="Mar-2023"/>
    <d v="2023-03-14T13:28:52"/>
    <s v="Smart Watch"/>
    <n v="3"/>
    <n v="3500"/>
    <s v="South"/>
    <x v="126"/>
    <n v="10500"/>
  </r>
  <r>
    <s v="Mar-2023"/>
    <d v="2023-03-15T01:10:08"/>
    <s v="Headphones"/>
    <n v="2"/>
    <n v="700"/>
    <s v="North"/>
    <x v="127"/>
    <n v="1400"/>
  </r>
  <r>
    <s v="Mar-2023"/>
    <d v="2023-03-15T12:51:24"/>
    <s v="Headphones"/>
    <n v="1"/>
    <n v="1200"/>
    <s v="South"/>
    <x v="4"/>
    <n v="1200"/>
  </r>
  <r>
    <s v="Mar-2023"/>
    <d v="2023-03-16T00:32:40"/>
    <s v="Wireless Mouse"/>
    <n v="2"/>
    <n v="150"/>
    <s v="South"/>
    <x v="128"/>
    <n v="300"/>
  </r>
  <r>
    <s v="Mar-2023"/>
    <d v="2023-03-16T12:13:56"/>
    <s v="Headphones"/>
    <n v="1"/>
    <n v="450"/>
    <s v="South"/>
    <x v="129"/>
    <n v="450"/>
  </r>
  <r>
    <s v="Mar-2023"/>
    <d v="2023-03-16T23:55:12"/>
    <s v="Keyboard"/>
    <n v="1"/>
    <n v="1200"/>
    <s v="North"/>
    <x v="130"/>
    <n v="1200"/>
  </r>
  <r>
    <s v="Mar-2023"/>
    <d v="2023-03-17T11:36:28"/>
    <s v="Headphones"/>
    <n v="2"/>
    <n v="700"/>
    <s v="West"/>
    <x v="131"/>
    <n v="1400"/>
  </r>
  <r>
    <s v="Mar-2023"/>
    <d v="2023-03-17T23:17:44"/>
    <s v="Wireless Mouse"/>
    <n v="3"/>
    <n v="3500"/>
    <s v="South"/>
    <x v="103"/>
    <n v="10500"/>
  </r>
  <r>
    <s v="Mar-2023"/>
    <d v="2023-03-18T10:59:00"/>
    <s v="Wireless Mouse"/>
    <n v="6"/>
    <n v="1200"/>
    <s v="North"/>
    <x v="132"/>
    <n v="7200"/>
  </r>
  <r>
    <s v="Mar-2023"/>
    <d v="2023-03-18T22:40:16"/>
    <s v="Smart Watch"/>
    <n v="5"/>
    <n v="150"/>
    <s v="North"/>
    <x v="133"/>
    <n v="750"/>
  </r>
  <r>
    <s v="Mar-2023"/>
    <d v="2023-03-19T10:21:32"/>
    <s v="Keyboard"/>
    <n v="5"/>
    <n v="700"/>
    <s v="South"/>
    <x v="134"/>
    <n v="3500"/>
  </r>
  <r>
    <s v="Mar-2023"/>
    <d v="2023-03-19T22:02:48"/>
    <s v="Laptop Bag"/>
    <n v="6"/>
    <n v="450"/>
    <s v="South"/>
    <x v="135"/>
    <n v="2700"/>
  </r>
  <r>
    <s v="Mar-2023"/>
    <d v="2023-03-20T09:44:04"/>
    <s v="Laptop Bag"/>
    <n v="1"/>
    <n v="700"/>
    <s v="West"/>
    <x v="136"/>
    <n v="700"/>
  </r>
  <r>
    <s v="Mar-2023"/>
    <d v="2023-03-20T21:25:20"/>
    <s v="Headphones"/>
    <n v="1"/>
    <n v="700"/>
    <s v="North"/>
    <x v="137"/>
    <n v="700"/>
  </r>
  <r>
    <s v="Mar-2023"/>
    <d v="2023-03-21T09:06:36"/>
    <s v="Smart Watch"/>
    <n v="3"/>
    <n v="1800"/>
    <s v="North"/>
    <x v="15"/>
    <n v="5400"/>
  </r>
  <r>
    <s v="Mar-2023"/>
    <d v="2023-03-21T20:47:52"/>
    <s v="Mobile Cover"/>
    <n v="4"/>
    <n v="700"/>
    <s v="East"/>
    <x v="13"/>
    <n v="2800"/>
  </r>
  <r>
    <s v="Mar-2023"/>
    <d v="2023-03-22T08:29:08"/>
    <s v="Headphones"/>
    <n v="2"/>
    <n v="700"/>
    <s v="North"/>
    <x v="41"/>
    <n v="1400"/>
  </r>
  <r>
    <s v="Mar-2023"/>
    <d v="2023-03-22T20:10:24"/>
    <s v="Smart Watch"/>
    <n v="1"/>
    <n v="1200"/>
    <s v="West"/>
    <x v="138"/>
    <n v="1200"/>
  </r>
  <r>
    <s v="Mar-2023"/>
    <d v="2023-03-23T07:51:40"/>
    <s v="Keyboard"/>
    <n v="5"/>
    <n v="450"/>
    <s v="East"/>
    <x v="139"/>
    <n v="2250"/>
  </r>
  <r>
    <s v="Mar-2023"/>
    <d v="2023-03-23T19:32:57"/>
    <s v="Keyboard"/>
    <n v="3"/>
    <n v="1200"/>
    <s v="East"/>
    <x v="140"/>
    <n v="3600"/>
  </r>
  <r>
    <s v="Mar-2023"/>
    <d v="2023-03-24T07:14:13"/>
    <s v="Keyboard"/>
    <n v="2"/>
    <n v="1200"/>
    <s v="East"/>
    <x v="141"/>
    <n v="2400"/>
  </r>
  <r>
    <s v="Mar-2023"/>
    <d v="2023-03-24T18:55:29"/>
    <s v="Keyboard"/>
    <n v="3"/>
    <n v="150"/>
    <s v="South"/>
    <x v="75"/>
    <n v="450"/>
  </r>
  <r>
    <s v="Mar-2023"/>
    <d v="2023-03-25T06:36:45"/>
    <s v="Keyboard"/>
    <n v="2"/>
    <n v="1200"/>
    <s v="South"/>
    <x v="142"/>
    <n v="2400"/>
  </r>
  <r>
    <s v="Mar-2023"/>
    <d v="2023-03-25T18:18:01"/>
    <s v="Smart Watch"/>
    <n v="2"/>
    <n v="1800"/>
    <s v="North"/>
    <x v="143"/>
    <n v="3600"/>
  </r>
  <r>
    <s v="Mar-2023"/>
    <d v="2023-03-26T05:59:17"/>
    <s v="Smart Watch"/>
    <n v="6"/>
    <n v="1800"/>
    <s v="East"/>
    <x v="144"/>
    <n v="10800"/>
  </r>
  <r>
    <s v="Mar-2023"/>
    <d v="2023-03-26T17:40:33"/>
    <s v="Wireless Mouse"/>
    <n v="1"/>
    <n v="150"/>
    <s v="West"/>
    <x v="145"/>
    <n v="150"/>
  </r>
  <r>
    <s v="Mar-2023"/>
    <d v="2023-03-27T05:21:49"/>
    <s v="Laptop Bag"/>
    <n v="3"/>
    <n v="3500"/>
    <s v="South"/>
    <x v="0"/>
    <n v="10500"/>
  </r>
  <r>
    <s v="Mar-2023"/>
    <d v="2023-03-27T17:03:05"/>
    <s v="Keyboard"/>
    <n v="3"/>
    <n v="450"/>
    <s v="West"/>
    <x v="81"/>
    <n v="1350"/>
  </r>
  <r>
    <s v="Mar-2023"/>
    <d v="2023-03-28T04:44:21"/>
    <s v="Mobile Cover"/>
    <n v="6"/>
    <n v="450"/>
    <s v="West"/>
    <x v="5"/>
    <n v="2700"/>
  </r>
  <r>
    <s v="Mar-2023"/>
    <d v="2023-03-28T16:25:37"/>
    <s v="Smart Watch"/>
    <n v="5"/>
    <n v="1200"/>
    <s v="South"/>
    <x v="146"/>
    <n v="6000"/>
  </r>
  <r>
    <s v="Mar-2023"/>
    <d v="2023-03-29T04:06:53"/>
    <s v="Mobile Cover"/>
    <n v="5"/>
    <n v="1200"/>
    <s v="South"/>
    <x v="58"/>
    <n v="6000"/>
  </r>
  <r>
    <s v="Mar-2023"/>
    <d v="2023-03-29T15:48:09"/>
    <s v="Mobile Cover"/>
    <n v="1"/>
    <n v="3500"/>
    <s v="South"/>
    <x v="147"/>
    <n v="3500"/>
  </r>
  <r>
    <s v="Mar-2023"/>
    <d v="2023-03-30T03:29:25"/>
    <s v="Mobile Cover"/>
    <n v="1"/>
    <n v="1200"/>
    <s v="South"/>
    <x v="148"/>
    <n v="1200"/>
  </r>
  <r>
    <s v="Mar-2023"/>
    <d v="2023-03-30T15:10:41"/>
    <s v="Wireless Mouse"/>
    <n v="4"/>
    <n v="450"/>
    <s v="East"/>
    <x v="149"/>
    <n v="1800"/>
  </r>
  <r>
    <s v="Mar-2023"/>
    <d v="2023-03-31T02:51:57"/>
    <s v="Smart Watch"/>
    <n v="6"/>
    <n v="700"/>
    <s v="East"/>
    <x v="111"/>
    <n v="4200"/>
  </r>
  <r>
    <s v="Mar-2023"/>
    <d v="2023-03-31T14:33:13"/>
    <s v="Mobile Cover"/>
    <n v="5"/>
    <n v="1800"/>
    <s v="East"/>
    <x v="26"/>
    <n v="9000"/>
  </r>
  <r>
    <s v="Apr-2023"/>
    <d v="2023-04-01T02:14:29"/>
    <s v="Keyboard"/>
    <n v="2"/>
    <n v="700"/>
    <s v="East"/>
    <x v="7"/>
    <n v="1400"/>
  </r>
  <r>
    <s v="Apr-2023"/>
    <d v="2023-04-01T13:55:45"/>
    <s v="Headphones"/>
    <n v="3"/>
    <n v="700"/>
    <s v="North"/>
    <x v="150"/>
    <n v="2100"/>
  </r>
  <r>
    <s v="Apr-2023"/>
    <d v="2023-04-02T01:37:01"/>
    <s v="Mobile Cover"/>
    <n v="1"/>
    <n v="450"/>
    <s v="East"/>
    <x v="151"/>
    <n v="450"/>
  </r>
  <r>
    <s v="Apr-2023"/>
    <d v="2023-04-02T13:18:18"/>
    <s v="Wireless Mouse"/>
    <n v="3"/>
    <n v="700"/>
    <s v="South"/>
    <x v="108"/>
    <n v="2100"/>
  </r>
  <r>
    <s v="Apr-2023"/>
    <d v="2023-04-03T00:59:34"/>
    <s v="Smart Watch"/>
    <n v="3"/>
    <n v="3500"/>
    <s v="West"/>
    <x v="152"/>
    <n v="10500"/>
  </r>
  <r>
    <s v="Apr-2023"/>
    <d v="2023-04-03T12:40:50"/>
    <s v="Wireless Mouse"/>
    <n v="4"/>
    <n v="150"/>
    <s v="East"/>
    <x v="153"/>
    <n v="600"/>
  </r>
  <r>
    <s v="Apr-2023"/>
    <d v="2023-04-04T00:22:06"/>
    <s v="Mobile Cover"/>
    <n v="5"/>
    <n v="1200"/>
    <s v="North"/>
    <x v="7"/>
    <n v="6000"/>
  </r>
  <r>
    <s v="Apr-2023"/>
    <d v="2023-04-04T12:03:22"/>
    <s v="Smart Watch"/>
    <n v="1"/>
    <n v="150"/>
    <s v="South"/>
    <x v="154"/>
    <n v="150"/>
  </r>
  <r>
    <s v="Apr-2023"/>
    <d v="2023-04-04T23:44:38"/>
    <s v="Headphones"/>
    <n v="3"/>
    <n v="1800"/>
    <s v="West"/>
    <x v="155"/>
    <n v="5400"/>
  </r>
  <r>
    <s v="Apr-2023"/>
    <d v="2023-04-05T11:25:54"/>
    <s v="Mobile Cover"/>
    <n v="1"/>
    <n v="1200"/>
    <s v="West"/>
    <x v="156"/>
    <n v="1200"/>
  </r>
  <r>
    <s v="Apr-2023"/>
    <d v="2023-04-05T23:07:10"/>
    <s v="Wireless Mouse"/>
    <n v="2"/>
    <n v="700"/>
    <s v="East"/>
    <x v="37"/>
    <n v="1400"/>
  </r>
  <r>
    <s v="Apr-2023"/>
    <d v="2023-04-06T10:48:26"/>
    <s v="Laptop Bag"/>
    <n v="4"/>
    <n v="1800"/>
    <s v="West"/>
    <x v="157"/>
    <n v="7200"/>
  </r>
  <r>
    <s v="Apr-2023"/>
    <d v="2023-04-06T22:29:42"/>
    <s v="Keyboard"/>
    <n v="2"/>
    <n v="1200"/>
    <s v="East"/>
    <x v="8"/>
    <n v="2400"/>
  </r>
  <r>
    <s v="Apr-2023"/>
    <d v="2023-04-07T10:10:58"/>
    <s v="Wireless Mouse"/>
    <n v="1"/>
    <n v="3500"/>
    <s v="East"/>
    <x v="158"/>
    <n v="3500"/>
  </r>
  <r>
    <s v="Apr-2023"/>
    <d v="2023-04-07T21:52:14"/>
    <s v="Smart Watch"/>
    <n v="1"/>
    <n v="3500"/>
    <s v="South"/>
    <x v="159"/>
    <n v="3500"/>
  </r>
  <r>
    <s v="Apr-2023"/>
    <d v="2023-04-08T09:33:30"/>
    <s v="Mobile Cover"/>
    <n v="5"/>
    <n v="3500"/>
    <s v="South"/>
    <x v="160"/>
    <n v="17500"/>
  </r>
  <r>
    <s v="Apr-2023"/>
    <d v="2023-04-08T21:14:46"/>
    <s v="Keyboard"/>
    <n v="3"/>
    <n v="3500"/>
    <s v="North"/>
    <x v="161"/>
    <n v="10500"/>
  </r>
  <r>
    <s v="Apr-2023"/>
    <d v="2023-04-09T08:56:02"/>
    <s v="Mobile Cover"/>
    <n v="3"/>
    <n v="700"/>
    <s v="South"/>
    <x v="162"/>
    <n v="2100"/>
  </r>
  <r>
    <s v="Apr-2023"/>
    <d v="2023-04-09T20:37:18"/>
    <s v="Smart Watch"/>
    <n v="2"/>
    <n v="150"/>
    <s v="South"/>
    <x v="163"/>
    <n v="300"/>
  </r>
  <r>
    <s v="Apr-2023"/>
    <d v="2023-04-10T08:18:34"/>
    <s v="Mobile Cover"/>
    <n v="4"/>
    <n v="1200"/>
    <s v="East"/>
    <x v="164"/>
    <n v="4800"/>
  </r>
  <r>
    <s v="Apr-2023"/>
    <d v="2023-04-10T19:59:50"/>
    <s v="Laptop Bag"/>
    <n v="6"/>
    <n v="700"/>
    <s v="South"/>
    <x v="17"/>
    <n v="4200"/>
  </r>
  <r>
    <s v="Apr-2023"/>
    <d v="2023-04-11T07:41:06"/>
    <s v="Keyboard"/>
    <n v="3"/>
    <n v="3500"/>
    <s v="East"/>
    <x v="165"/>
    <n v="10500"/>
  </r>
  <r>
    <s v="Apr-2023"/>
    <d v="2023-04-11T19:22:22"/>
    <s v="Keyboard"/>
    <n v="5"/>
    <n v="150"/>
    <s v="East"/>
    <x v="166"/>
    <n v="750"/>
  </r>
  <r>
    <s v="Apr-2023"/>
    <d v="2023-04-12T07:03:39"/>
    <s v="Smart Watch"/>
    <n v="2"/>
    <n v="1800"/>
    <s v="South"/>
    <x v="57"/>
    <n v="3600"/>
  </r>
  <r>
    <s v="Apr-2023"/>
    <d v="2023-04-12T18:44:55"/>
    <s v="Laptop Bag"/>
    <n v="2"/>
    <n v="1800"/>
    <s v="North"/>
    <x v="167"/>
    <n v="3600"/>
  </r>
  <r>
    <s v="Apr-2023"/>
    <d v="2023-04-13T06:26:11"/>
    <s v="Wireless Mouse"/>
    <n v="6"/>
    <n v="1800"/>
    <s v="North"/>
    <x v="168"/>
    <n v="10800"/>
  </r>
  <r>
    <s v="Apr-2023"/>
    <d v="2023-04-13T18:07:27"/>
    <s v="Mobile Cover"/>
    <n v="5"/>
    <n v="3500"/>
    <s v="West"/>
    <x v="135"/>
    <n v="17500"/>
  </r>
  <r>
    <s v="Apr-2023"/>
    <d v="2023-04-14T05:48:43"/>
    <s v="Headphones"/>
    <n v="4"/>
    <n v="1800"/>
    <s v="West"/>
    <x v="169"/>
    <n v="7200"/>
  </r>
  <r>
    <s v="Apr-2023"/>
    <d v="2023-04-14T17:29:59"/>
    <s v="Mobile Cover"/>
    <n v="5"/>
    <n v="450"/>
    <s v="South"/>
    <x v="170"/>
    <n v="2250"/>
  </r>
  <r>
    <s v="Apr-2023"/>
    <d v="2023-04-15T05:11:15"/>
    <s v="Mobile Cover"/>
    <n v="4"/>
    <n v="1200"/>
    <s v="North"/>
    <x v="162"/>
    <n v="4800"/>
  </r>
  <r>
    <s v="Apr-2023"/>
    <d v="2023-04-15T16:52:31"/>
    <s v="Wireless Mouse"/>
    <n v="5"/>
    <n v="1200"/>
    <s v="East"/>
    <x v="171"/>
    <n v="6000"/>
  </r>
  <r>
    <s v="Apr-2023"/>
    <d v="2023-04-16T04:33:47"/>
    <s v="Mobile Cover"/>
    <n v="5"/>
    <n v="3500"/>
    <s v="West"/>
    <x v="172"/>
    <n v="17500"/>
  </r>
  <r>
    <s v="Apr-2023"/>
    <d v="2023-04-16T16:15:03"/>
    <s v="Laptop Bag"/>
    <n v="1"/>
    <n v="450"/>
    <s v="East"/>
    <x v="173"/>
    <n v="450"/>
  </r>
  <r>
    <s v="Apr-2023"/>
    <d v="2023-04-17T03:56:19"/>
    <s v="Laptop Bag"/>
    <n v="2"/>
    <n v="700"/>
    <s v="West"/>
    <x v="174"/>
    <n v="1400"/>
  </r>
  <r>
    <s v="Apr-2023"/>
    <d v="2023-04-17T15:37:35"/>
    <s v="Keyboard"/>
    <n v="5"/>
    <n v="700"/>
    <s v="South"/>
    <x v="175"/>
    <n v="3500"/>
  </r>
  <r>
    <s v="Apr-2023"/>
    <d v="2023-04-18T03:18:51"/>
    <s v="Smart Watch"/>
    <n v="6"/>
    <n v="1800"/>
    <s v="North"/>
    <x v="53"/>
    <n v="10800"/>
  </r>
  <r>
    <s v="Apr-2023"/>
    <d v="2023-04-18T15:00:07"/>
    <s v="Headphones"/>
    <n v="5"/>
    <n v="150"/>
    <s v="West"/>
    <x v="88"/>
    <n v="750"/>
  </r>
  <r>
    <s v="Apr-2023"/>
    <d v="2023-04-19T02:41:23"/>
    <s v="Mobile Cover"/>
    <n v="3"/>
    <n v="700"/>
    <s v="North"/>
    <x v="176"/>
    <n v="2100"/>
  </r>
  <r>
    <s v="Apr-2023"/>
    <d v="2023-04-19T14:22:39"/>
    <s v="Mobile Cover"/>
    <n v="2"/>
    <n v="150"/>
    <s v="East"/>
    <x v="177"/>
    <n v="300"/>
  </r>
  <r>
    <s v="Apr-2023"/>
    <d v="2023-04-20T02:03:55"/>
    <s v="Wireless Mouse"/>
    <n v="3"/>
    <n v="1200"/>
    <s v="South"/>
    <x v="178"/>
    <n v="3600"/>
  </r>
  <r>
    <s v="Apr-2023"/>
    <d v="2023-04-20T13:45:11"/>
    <s v="Smart Watch"/>
    <n v="2"/>
    <n v="150"/>
    <s v="North"/>
    <x v="138"/>
    <n v="300"/>
  </r>
  <r>
    <s v="Apr-2023"/>
    <d v="2023-04-21T01:26:27"/>
    <s v="Laptop Bag"/>
    <n v="3"/>
    <n v="1200"/>
    <s v="South"/>
    <x v="87"/>
    <n v="3600"/>
  </r>
  <r>
    <s v="Apr-2023"/>
    <d v="2023-04-21T13:07:44"/>
    <s v="Headphones"/>
    <n v="5"/>
    <n v="450"/>
    <s v="North"/>
    <x v="179"/>
    <n v="2250"/>
  </r>
  <r>
    <s v="Apr-2023"/>
    <d v="2023-04-22T00:49:00"/>
    <s v="Keyboard"/>
    <n v="5"/>
    <n v="450"/>
    <s v="East"/>
    <x v="49"/>
    <n v="2250"/>
  </r>
  <r>
    <s v="Apr-2023"/>
    <d v="2023-04-22T12:30:16"/>
    <s v="Laptop Bag"/>
    <n v="1"/>
    <n v="3500"/>
    <s v="East"/>
    <x v="180"/>
    <n v="3500"/>
  </r>
  <r>
    <s v="Apr-2023"/>
    <d v="2023-04-23T00:11:32"/>
    <s v="Smart Watch"/>
    <n v="6"/>
    <n v="3500"/>
    <s v="South"/>
    <x v="181"/>
    <n v="21000"/>
  </r>
  <r>
    <s v="Apr-2023"/>
    <d v="2023-04-23T11:52:48"/>
    <s v="Keyboard"/>
    <n v="3"/>
    <n v="1800"/>
    <s v="East"/>
    <x v="182"/>
    <n v="5400"/>
  </r>
  <r>
    <s v="Apr-2023"/>
    <d v="2023-04-23T23:34:04"/>
    <s v="Wireless Mouse"/>
    <n v="4"/>
    <n v="700"/>
    <s v="West"/>
    <x v="183"/>
    <n v="2800"/>
  </r>
  <r>
    <s v="Apr-2023"/>
    <d v="2023-04-24T11:15:20"/>
    <s v="Wireless Mouse"/>
    <n v="1"/>
    <n v="1800"/>
    <s v="North"/>
    <x v="53"/>
    <n v="1800"/>
  </r>
  <r>
    <s v="Apr-2023"/>
    <d v="2023-04-24T22:56:36"/>
    <s v="Mobile Cover"/>
    <n v="3"/>
    <n v="1200"/>
    <s v="East"/>
    <x v="184"/>
    <n v="3600"/>
  </r>
  <r>
    <s v="Apr-2023"/>
    <d v="2023-04-25T10:37:52"/>
    <s v="Smart Watch"/>
    <n v="3"/>
    <n v="1800"/>
    <s v="West"/>
    <x v="185"/>
    <n v="5400"/>
  </r>
  <r>
    <s v="Apr-2023"/>
    <d v="2023-04-25T22:19:08"/>
    <s v="Headphones"/>
    <n v="1"/>
    <n v="150"/>
    <s v="South"/>
    <x v="123"/>
    <n v="150"/>
  </r>
  <r>
    <s v="Apr-2023"/>
    <d v="2023-04-26T10:00:24"/>
    <s v="Keyboard"/>
    <n v="5"/>
    <n v="1200"/>
    <s v="West"/>
    <x v="186"/>
    <n v="6000"/>
  </r>
  <r>
    <s v="Apr-2023"/>
    <d v="2023-04-26T21:41:40"/>
    <s v="Laptop Bag"/>
    <n v="3"/>
    <n v="3500"/>
    <s v="South"/>
    <x v="187"/>
    <n v="10500"/>
  </r>
  <r>
    <s v="Apr-2023"/>
    <d v="2023-04-27T09:22:56"/>
    <s v="Smart Watch"/>
    <n v="5"/>
    <n v="450"/>
    <s v="South"/>
    <x v="188"/>
    <n v="2250"/>
  </r>
  <r>
    <s v="Apr-2023"/>
    <d v="2023-04-27T21:04:12"/>
    <s v="Smart Watch"/>
    <n v="1"/>
    <n v="3500"/>
    <s v="North"/>
    <x v="189"/>
    <n v="3500"/>
  </r>
  <r>
    <s v="Apr-2023"/>
    <d v="2023-04-28T08:45:28"/>
    <s v="Wireless Mouse"/>
    <n v="5"/>
    <n v="700"/>
    <s v="North"/>
    <x v="190"/>
    <n v="3500"/>
  </r>
  <r>
    <s v="Apr-2023"/>
    <d v="2023-04-28T20:26:44"/>
    <s v="Mobile Cover"/>
    <n v="2"/>
    <n v="1200"/>
    <s v="West"/>
    <x v="191"/>
    <n v="2400"/>
  </r>
  <r>
    <s v="Apr-2023"/>
    <d v="2023-04-29T08:08:00"/>
    <s v="Mobile Cover"/>
    <n v="4"/>
    <n v="1200"/>
    <s v="North"/>
    <x v="192"/>
    <n v="4800"/>
  </r>
  <r>
    <s v="Apr-2023"/>
    <d v="2023-04-29T19:49:16"/>
    <s v="Keyboard"/>
    <n v="3"/>
    <n v="150"/>
    <s v="North"/>
    <x v="99"/>
    <n v="450"/>
  </r>
  <r>
    <s v="Apr-2023"/>
    <d v="2023-04-30T07:30:32"/>
    <s v="Wireless Mouse"/>
    <n v="6"/>
    <n v="700"/>
    <s v="North"/>
    <x v="46"/>
    <n v="4200"/>
  </r>
  <r>
    <s v="Apr-2023"/>
    <d v="2023-04-30T19:11:48"/>
    <s v="Smart Watch"/>
    <n v="4"/>
    <n v="450"/>
    <s v="West"/>
    <x v="193"/>
    <n v="1800"/>
  </r>
  <r>
    <s v="May-2023"/>
    <d v="2023-05-01T06:53:05"/>
    <s v="Headphones"/>
    <n v="5"/>
    <n v="1200"/>
    <s v="East"/>
    <x v="194"/>
    <n v="6000"/>
  </r>
  <r>
    <s v="May-2023"/>
    <d v="2023-05-01T18:34:21"/>
    <s v="Wireless Mouse"/>
    <n v="3"/>
    <n v="1200"/>
    <s v="North"/>
    <x v="195"/>
    <n v="3600"/>
  </r>
  <r>
    <s v="May-2023"/>
    <d v="2023-05-02T06:15:37"/>
    <s v="Keyboard"/>
    <n v="5"/>
    <n v="150"/>
    <s v="North"/>
    <x v="196"/>
    <n v="750"/>
  </r>
  <r>
    <s v="May-2023"/>
    <d v="2023-05-02T17:56:53"/>
    <s v="Keyboard"/>
    <n v="2"/>
    <n v="1800"/>
    <s v="West"/>
    <x v="124"/>
    <n v="3600"/>
  </r>
  <r>
    <s v="May-2023"/>
    <d v="2023-05-03T05:38:09"/>
    <s v="Wireless Mouse"/>
    <n v="1"/>
    <n v="450"/>
    <s v="East"/>
    <x v="41"/>
    <n v="450"/>
  </r>
  <r>
    <s v="May-2023"/>
    <d v="2023-05-03T17:19:25"/>
    <s v="Keyboard"/>
    <n v="3"/>
    <n v="3500"/>
    <s v="North"/>
    <x v="109"/>
    <n v="10500"/>
  </r>
  <r>
    <s v="May-2023"/>
    <d v="2023-05-04T05:00:41"/>
    <s v="Wireless Mouse"/>
    <n v="2"/>
    <n v="700"/>
    <s v="South"/>
    <x v="197"/>
    <n v="1400"/>
  </r>
  <r>
    <s v="May-2023"/>
    <d v="2023-05-04T16:41:57"/>
    <s v="Laptop Bag"/>
    <n v="2"/>
    <n v="1200"/>
    <s v="West"/>
    <x v="19"/>
    <n v="2400"/>
  </r>
  <r>
    <s v="May-2023"/>
    <d v="2023-05-05T04:23:13"/>
    <s v="Wireless Mouse"/>
    <n v="3"/>
    <n v="1200"/>
    <s v="North"/>
    <x v="167"/>
    <n v="3600"/>
  </r>
  <r>
    <s v="May-2023"/>
    <d v="2023-05-05T16:04:29"/>
    <s v="Wireless Mouse"/>
    <n v="5"/>
    <n v="3500"/>
    <s v="North"/>
    <x v="155"/>
    <n v="17500"/>
  </r>
  <r>
    <s v="May-2023"/>
    <d v="2023-05-06T03:45:45"/>
    <s v="Keyboard"/>
    <n v="6"/>
    <n v="450"/>
    <s v="South"/>
    <x v="176"/>
    <n v="2700"/>
  </r>
  <r>
    <s v="May-2023"/>
    <d v="2023-05-06T15:27:01"/>
    <s v="Keyboard"/>
    <n v="2"/>
    <n v="1800"/>
    <s v="South"/>
    <x v="198"/>
    <n v="3600"/>
  </r>
  <r>
    <s v="May-2023"/>
    <d v="2023-05-07T03:08:17"/>
    <s v="Mobile Cover"/>
    <n v="4"/>
    <n v="1200"/>
    <s v="West"/>
    <x v="199"/>
    <n v="4800"/>
  </r>
  <r>
    <s v="May-2023"/>
    <d v="2023-05-07T14:49:33"/>
    <s v="Mobile Cover"/>
    <n v="2"/>
    <n v="450"/>
    <s v="West"/>
    <x v="200"/>
    <n v="900"/>
  </r>
  <r>
    <s v="May-2023"/>
    <d v="2023-05-08T02:30:49"/>
    <s v="Laptop Bag"/>
    <n v="6"/>
    <n v="3500"/>
    <s v="South"/>
    <x v="201"/>
    <n v="21000"/>
  </r>
  <r>
    <s v="May-2023"/>
    <d v="2023-05-08T14:12:05"/>
    <s v="Mobile Cover"/>
    <n v="5"/>
    <n v="150"/>
    <s v="West"/>
    <x v="56"/>
    <n v="750"/>
  </r>
  <r>
    <s v="May-2023"/>
    <d v="2023-05-09T01:53:21"/>
    <s v="Wireless Mouse"/>
    <n v="5"/>
    <n v="1800"/>
    <s v="South"/>
    <x v="28"/>
    <n v="9000"/>
  </r>
  <r>
    <s v="May-2023"/>
    <d v="2023-05-09T13:34:37"/>
    <s v="Keyboard"/>
    <n v="4"/>
    <n v="700"/>
    <s v="North"/>
    <x v="202"/>
    <n v="2800"/>
  </r>
  <r>
    <s v="May-2023"/>
    <d v="2023-05-10T01:15:53"/>
    <s v="Mobile Cover"/>
    <n v="2"/>
    <n v="1200"/>
    <s v="South"/>
    <x v="203"/>
    <n v="2400"/>
  </r>
  <r>
    <s v="May-2023"/>
    <d v="2023-05-10T12:57:09"/>
    <s v="Mobile Cover"/>
    <n v="5"/>
    <n v="450"/>
    <s v="South"/>
    <x v="204"/>
    <n v="2250"/>
  </r>
  <r>
    <s v="May-2023"/>
    <d v="2023-05-11T00:38:26"/>
    <s v="Laptop Bag"/>
    <n v="6"/>
    <n v="150"/>
    <s v="East"/>
    <x v="205"/>
    <n v="900"/>
  </r>
  <r>
    <s v="May-2023"/>
    <d v="2023-05-11T12:19:42"/>
    <s v="Smart Watch"/>
    <n v="3"/>
    <n v="700"/>
    <s v="South"/>
    <x v="177"/>
    <n v="2100"/>
  </r>
  <r>
    <s v="May-2023"/>
    <d v="2023-05-12T00:00:58"/>
    <s v="Laptop Bag"/>
    <n v="1"/>
    <n v="450"/>
    <s v="South"/>
    <x v="21"/>
    <n v="450"/>
  </r>
  <r>
    <s v="May-2023"/>
    <d v="2023-05-12T11:42:14"/>
    <s v="Wireless Mouse"/>
    <n v="1"/>
    <n v="450"/>
    <s v="East"/>
    <x v="206"/>
    <n v="450"/>
  </r>
  <r>
    <s v="May-2023"/>
    <d v="2023-05-12T23:23:30"/>
    <s v="Keyboard"/>
    <n v="1"/>
    <n v="700"/>
    <s v="West"/>
    <x v="171"/>
    <n v="700"/>
  </r>
  <r>
    <s v="May-2023"/>
    <d v="2023-05-13T11:04:46"/>
    <s v="Laptop Bag"/>
    <n v="2"/>
    <n v="150"/>
    <s v="East"/>
    <x v="206"/>
    <n v="300"/>
  </r>
  <r>
    <s v="May-2023"/>
    <d v="2023-05-13T22:46:02"/>
    <s v="Mobile Cover"/>
    <n v="4"/>
    <n v="3500"/>
    <s v="North"/>
    <x v="207"/>
    <n v="14000"/>
  </r>
  <r>
    <s v="May-2023"/>
    <d v="2023-05-14T10:27:18"/>
    <s v="Keyboard"/>
    <n v="5"/>
    <n v="150"/>
    <s v="East"/>
    <x v="40"/>
    <n v="750"/>
  </r>
  <r>
    <s v="May-2023"/>
    <d v="2023-05-14T22:08:34"/>
    <s v="Keyboard"/>
    <n v="3"/>
    <n v="1800"/>
    <s v="North"/>
    <x v="208"/>
    <n v="5400"/>
  </r>
  <r>
    <s v="May-2023"/>
    <d v="2023-05-15T09:49:50"/>
    <s v="Mobile Cover"/>
    <n v="6"/>
    <n v="1200"/>
    <s v="West"/>
    <x v="53"/>
    <n v="7200"/>
  </r>
  <r>
    <s v="May-2023"/>
    <d v="2023-05-15T21:31:06"/>
    <s v="Laptop Bag"/>
    <n v="3"/>
    <n v="700"/>
    <s v="East"/>
    <x v="209"/>
    <n v="2100"/>
  </r>
  <r>
    <s v="May-2023"/>
    <d v="2023-05-16T09:12:22"/>
    <s v="Mobile Cover"/>
    <n v="6"/>
    <n v="3500"/>
    <s v="East"/>
    <x v="210"/>
    <n v="21000"/>
  </r>
  <r>
    <s v="May-2023"/>
    <d v="2023-05-16T20:53:38"/>
    <s v="Smart Watch"/>
    <n v="2"/>
    <n v="700"/>
    <s v="West"/>
    <x v="211"/>
    <n v="1400"/>
  </r>
  <r>
    <s v="May-2023"/>
    <d v="2023-05-17T08:34:54"/>
    <s v="Keyboard"/>
    <n v="1"/>
    <n v="700"/>
    <s v="North"/>
    <x v="56"/>
    <n v="700"/>
  </r>
  <r>
    <s v="May-2023"/>
    <d v="2023-05-17T20:16:10"/>
    <s v="Headphones"/>
    <n v="2"/>
    <n v="150"/>
    <s v="East"/>
    <x v="4"/>
    <n v="300"/>
  </r>
  <r>
    <s v="May-2023"/>
    <d v="2023-05-18T07:57:26"/>
    <s v="Headphones"/>
    <n v="4"/>
    <n v="1200"/>
    <s v="North"/>
    <x v="35"/>
    <n v="4800"/>
  </r>
  <r>
    <s v="May-2023"/>
    <d v="2023-05-18T19:38:42"/>
    <s v="Wireless Mouse"/>
    <n v="4"/>
    <n v="1800"/>
    <s v="East"/>
    <x v="212"/>
    <n v="7200"/>
  </r>
  <r>
    <s v="May-2023"/>
    <d v="2023-05-19T07:19:58"/>
    <s v="Mobile Cover"/>
    <n v="6"/>
    <n v="450"/>
    <s v="South"/>
    <x v="139"/>
    <n v="2700"/>
  </r>
  <r>
    <s v="May-2023"/>
    <d v="2023-05-19T19:01:14"/>
    <s v="Mobile Cover"/>
    <n v="5"/>
    <n v="450"/>
    <s v="East"/>
    <x v="170"/>
    <n v="2250"/>
  </r>
  <r>
    <s v="May-2023"/>
    <d v="2023-05-20T06:42:30"/>
    <s v="Wireless Mouse"/>
    <n v="5"/>
    <n v="700"/>
    <s v="West"/>
    <x v="213"/>
    <n v="3500"/>
  </r>
  <r>
    <s v="May-2023"/>
    <d v="2023-05-20T18:23:47"/>
    <s v="Wireless Mouse"/>
    <n v="6"/>
    <n v="1200"/>
    <s v="West"/>
    <x v="96"/>
    <n v="7200"/>
  </r>
  <r>
    <s v="May-2023"/>
    <d v="2023-05-21T06:05:03"/>
    <s v="Wireless Mouse"/>
    <n v="4"/>
    <n v="3500"/>
    <s v="North"/>
    <x v="214"/>
    <n v="14000"/>
  </r>
  <r>
    <s v="May-2023"/>
    <d v="2023-05-21T17:46:19"/>
    <s v="Keyboard"/>
    <n v="4"/>
    <n v="150"/>
    <s v="East"/>
    <x v="215"/>
    <n v="600"/>
  </r>
  <r>
    <s v="May-2023"/>
    <d v="2023-05-22T05:27:35"/>
    <s v="Smart Watch"/>
    <n v="4"/>
    <n v="1200"/>
    <s v="North"/>
    <x v="2"/>
    <n v="4800"/>
  </r>
  <r>
    <s v="May-2023"/>
    <d v="2023-05-22T17:08:51"/>
    <s v="Mobile Cover"/>
    <n v="2"/>
    <n v="1200"/>
    <s v="North"/>
    <x v="216"/>
    <n v="2400"/>
  </r>
  <r>
    <s v="May-2023"/>
    <d v="2023-05-23T04:50:07"/>
    <s v="Keyboard"/>
    <n v="4"/>
    <n v="150"/>
    <s v="South"/>
    <x v="217"/>
    <n v="600"/>
  </r>
  <r>
    <s v="May-2023"/>
    <d v="2023-05-23T16:31:23"/>
    <s v="Wireless Mouse"/>
    <n v="3"/>
    <n v="700"/>
    <s v="South"/>
    <x v="169"/>
    <n v="2100"/>
  </r>
  <r>
    <s v="May-2023"/>
    <d v="2023-05-24T04:12:39"/>
    <s v="Mobile Cover"/>
    <n v="1"/>
    <n v="1200"/>
    <s v="West"/>
    <x v="218"/>
    <n v="1200"/>
  </r>
  <r>
    <s v="May-2023"/>
    <d v="2023-05-24T15:53:55"/>
    <s v="Keyboard"/>
    <n v="4"/>
    <n v="450"/>
    <s v="North"/>
    <x v="219"/>
    <n v="1800"/>
  </r>
  <r>
    <s v="May-2023"/>
    <d v="2023-05-25T03:35:11"/>
    <s v="Smart Watch"/>
    <n v="6"/>
    <n v="150"/>
    <s v="West"/>
    <x v="220"/>
    <n v="900"/>
  </r>
  <r>
    <s v="May-2023"/>
    <d v="2023-05-25T15:16:27"/>
    <s v="Keyboard"/>
    <n v="1"/>
    <n v="3500"/>
    <s v="East"/>
    <x v="221"/>
    <n v="3500"/>
  </r>
  <r>
    <s v="May-2023"/>
    <d v="2023-05-26T02:57:43"/>
    <s v="Smart Watch"/>
    <n v="2"/>
    <n v="1800"/>
    <s v="North"/>
    <x v="222"/>
    <n v="3600"/>
  </r>
  <r>
    <s v="May-2023"/>
    <d v="2023-05-26T14:38:59"/>
    <s v="Wireless Mouse"/>
    <n v="6"/>
    <n v="700"/>
    <s v="North"/>
    <x v="68"/>
    <n v="4200"/>
  </r>
  <r>
    <s v="May-2023"/>
    <d v="2023-05-27T02:20:15"/>
    <s v="Smart Watch"/>
    <n v="1"/>
    <n v="150"/>
    <s v="East"/>
    <x v="90"/>
    <n v="150"/>
  </r>
  <r>
    <s v="May-2023"/>
    <d v="2023-05-27T14:01:31"/>
    <s v="Mobile Cover"/>
    <n v="6"/>
    <n v="1800"/>
    <s v="East"/>
    <x v="177"/>
    <n v="10800"/>
  </r>
  <r>
    <s v="May-2023"/>
    <d v="2023-05-28T01:42:47"/>
    <s v="Wireless Mouse"/>
    <n v="2"/>
    <n v="1800"/>
    <s v="West"/>
    <x v="223"/>
    <n v="3600"/>
  </r>
  <r>
    <s v="May-2023"/>
    <d v="2023-05-28T13:24:03"/>
    <s v="Mobile Cover"/>
    <n v="3"/>
    <n v="3500"/>
    <s v="West"/>
    <x v="11"/>
    <n v="10500"/>
  </r>
  <r>
    <s v="May-2023"/>
    <d v="2023-05-29T01:05:19"/>
    <s v="Headphones"/>
    <n v="2"/>
    <n v="1200"/>
    <s v="East"/>
    <x v="224"/>
    <n v="2400"/>
  </r>
  <r>
    <s v="May-2023"/>
    <d v="2023-05-29T12:46:35"/>
    <s v="Laptop Bag"/>
    <n v="2"/>
    <n v="3500"/>
    <s v="West"/>
    <x v="17"/>
    <n v="7000"/>
  </r>
  <r>
    <s v="May-2023"/>
    <d v="2023-05-30T00:27:52"/>
    <s v="Smart Watch"/>
    <n v="6"/>
    <n v="1200"/>
    <s v="East"/>
    <x v="141"/>
    <n v="7200"/>
  </r>
  <r>
    <s v="May-2023"/>
    <d v="2023-05-30T12:09:08"/>
    <s v="Laptop Bag"/>
    <n v="5"/>
    <n v="1200"/>
    <s v="North"/>
    <x v="25"/>
    <n v="6000"/>
  </r>
  <r>
    <s v="May-2023"/>
    <d v="2023-05-30T23:50:24"/>
    <s v="Laptop Bag"/>
    <n v="4"/>
    <n v="150"/>
    <s v="North"/>
    <x v="166"/>
    <n v="600"/>
  </r>
  <r>
    <s v="May-2023"/>
    <d v="2023-05-31T11:31:40"/>
    <s v="Smart Watch"/>
    <n v="4"/>
    <n v="150"/>
    <s v="South"/>
    <x v="19"/>
    <n v="600"/>
  </r>
  <r>
    <s v="May-2023"/>
    <d v="2023-05-31T23:12:56"/>
    <s v="Wireless Mouse"/>
    <n v="3"/>
    <n v="700"/>
    <s v="North"/>
    <x v="174"/>
    <n v="2100"/>
  </r>
  <r>
    <s v="Jun-2023"/>
    <d v="2023-06-01T10:54:12"/>
    <s v="Headphones"/>
    <n v="3"/>
    <n v="1200"/>
    <s v="East"/>
    <x v="225"/>
    <n v="3600"/>
  </r>
  <r>
    <s v="Jun-2023"/>
    <d v="2023-06-01T22:35:28"/>
    <s v="Mobile Cover"/>
    <n v="4"/>
    <n v="1800"/>
    <s v="West"/>
    <x v="6"/>
    <n v="7200"/>
  </r>
  <r>
    <s v="Jun-2023"/>
    <d v="2023-06-02T10:16:44"/>
    <s v="Keyboard"/>
    <n v="5"/>
    <n v="450"/>
    <s v="South"/>
    <x v="226"/>
    <n v="2250"/>
  </r>
  <r>
    <s v="Jun-2023"/>
    <d v="2023-06-02T21:58:00"/>
    <s v="Mobile Cover"/>
    <n v="4"/>
    <n v="700"/>
    <s v="West"/>
    <x v="30"/>
    <n v="2800"/>
  </r>
  <r>
    <s v="Jun-2023"/>
    <d v="2023-06-03T09:39:16"/>
    <s v="Keyboard"/>
    <n v="5"/>
    <n v="150"/>
    <s v="East"/>
    <x v="227"/>
    <n v="750"/>
  </r>
  <r>
    <s v="Jun-2023"/>
    <d v="2023-06-03T21:20:32"/>
    <s v="Mobile Cover"/>
    <n v="3"/>
    <n v="3500"/>
    <s v="North"/>
    <x v="27"/>
    <n v="10500"/>
  </r>
  <r>
    <s v="Jun-2023"/>
    <d v="2023-06-04T09:01:48"/>
    <s v="Smart Watch"/>
    <n v="1"/>
    <n v="700"/>
    <s v="South"/>
    <x v="228"/>
    <n v="700"/>
  </r>
  <r>
    <s v="Jun-2023"/>
    <d v="2023-06-04T20:43:04"/>
    <s v="Headphones"/>
    <n v="6"/>
    <n v="700"/>
    <s v="East"/>
    <x v="70"/>
    <n v="4200"/>
  </r>
  <r>
    <s v="Jun-2023"/>
    <d v="2023-06-05T08:24:20"/>
    <s v="Keyboard"/>
    <n v="3"/>
    <n v="700"/>
    <s v="South"/>
    <x v="229"/>
    <n v="2100"/>
  </r>
  <r>
    <s v="Jun-2023"/>
    <d v="2023-06-05T20:05:36"/>
    <s v="Wireless Mouse"/>
    <n v="3"/>
    <n v="700"/>
    <s v="South"/>
    <x v="230"/>
    <n v="2100"/>
  </r>
  <r>
    <s v="Jun-2023"/>
    <d v="2023-06-06T07:46:52"/>
    <s v="Mobile Cover"/>
    <n v="2"/>
    <n v="450"/>
    <s v="North"/>
    <x v="52"/>
    <n v="900"/>
  </r>
  <r>
    <s v="Jun-2023"/>
    <d v="2023-06-06T19:28:08"/>
    <s v="Mobile Cover"/>
    <n v="2"/>
    <n v="3500"/>
    <s v="East"/>
    <x v="231"/>
    <n v="7000"/>
  </r>
  <r>
    <s v="Jun-2023"/>
    <d v="2023-06-07T07:09:24"/>
    <s v="Keyboard"/>
    <n v="2"/>
    <n v="3500"/>
    <s v="West"/>
    <x v="232"/>
    <n v="7000"/>
  </r>
  <r>
    <s v="Jun-2023"/>
    <d v="2023-06-07T18:50:40"/>
    <s v="Wireless Mouse"/>
    <n v="6"/>
    <n v="3500"/>
    <s v="South"/>
    <x v="233"/>
    <n v="21000"/>
  </r>
  <r>
    <s v="Jun-2023"/>
    <d v="2023-06-08T06:31:56"/>
    <s v="Wireless Mouse"/>
    <n v="2"/>
    <n v="1200"/>
    <s v="South"/>
    <x v="234"/>
    <n v="2400"/>
  </r>
  <r>
    <s v="Jun-2023"/>
    <d v="2023-06-08T18:13:13"/>
    <s v="Smart Watch"/>
    <n v="5"/>
    <n v="1800"/>
    <s v="West"/>
    <x v="235"/>
    <n v="9000"/>
  </r>
  <r>
    <s v="Jun-2023"/>
    <d v="2023-06-09T05:54:29"/>
    <s v="Smart Watch"/>
    <n v="4"/>
    <n v="3500"/>
    <s v="East"/>
    <x v="236"/>
    <n v="14000"/>
  </r>
  <r>
    <s v="Jun-2023"/>
    <d v="2023-06-09T17:35:45"/>
    <s v="Smart Watch"/>
    <n v="1"/>
    <n v="700"/>
    <s v="South"/>
    <x v="237"/>
    <n v="700"/>
  </r>
  <r>
    <s v="Jun-2023"/>
    <d v="2023-06-10T05:17:01"/>
    <s v="Smart Watch"/>
    <n v="3"/>
    <n v="700"/>
    <s v="South"/>
    <x v="238"/>
    <n v="2100"/>
  </r>
  <r>
    <s v="Jun-2023"/>
    <d v="2023-06-10T16:58:17"/>
    <s v="Smart Watch"/>
    <n v="5"/>
    <n v="3500"/>
    <s v="South"/>
    <x v="98"/>
    <n v="17500"/>
  </r>
  <r>
    <s v="Jun-2023"/>
    <d v="2023-06-11T04:39:33"/>
    <s v="Smart Watch"/>
    <n v="1"/>
    <n v="3500"/>
    <s v="East"/>
    <x v="239"/>
    <n v="3500"/>
  </r>
  <r>
    <s v="Jun-2023"/>
    <d v="2023-06-11T16:20:49"/>
    <s v="Headphones"/>
    <n v="5"/>
    <n v="700"/>
    <s v="East"/>
    <x v="144"/>
    <n v="3500"/>
  </r>
  <r>
    <s v="Jun-2023"/>
    <d v="2023-06-12T04:02:05"/>
    <s v="Wireless Mouse"/>
    <n v="5"/>
    <n v="1200"/>
    <s v="West"/>
    <x v="37"/>
    <n v="6000"/>
  </r>
  <r>
    <s v="Jun-2023"/>
    <d v="2023-06-12T15:43:21"/>
    <s v="Smart Watch"/>
    <n v="3"/>
    <n v="150"/>
    <s v="East"/>
    <x v="240"/>
    <n v="450"/>
  </r>
  <r>
    <s v="Jun-2023"/>
    <d v="2023-06-13T03:24:37"/>
    <s v="Wireless Mouse"/>
    <n v="4"/>
    <n v="150"/>
    <s v="East"/>
    <x v="241"/>
    <n v="600"/>
  </r>
  <r>
    <s v="Jun-2023"/>
    <d v="2023-06-13T15:05:53"/>
    <s v="Wireless Mouse"/>
    <n v="2"/>
    <n v="3500"/>
    <s v="North"/>
    <x v="50"/>
    <n v="7000"/>
  </r>
  <r>
    <s v="Jun-2023"/>
    <d v="2023-06-14T02:47:09"/>
    <s v="Laptop Bag"/>
    <n v="6"/>
    <n v="450"/>
    <s v="West"/>
    <x v="242"/>
    <n v="2700"/>
  </r>
  <r>
    <s v="Jun-2023"/>
    <d v="2023-06-14T14:28:25"/>
    <s v="Headphones"/>
    <n v="4"/>
    <n v="3500"/>
    <s v="South"/>
    <x v="243"/>
    <n v="14000"/>
  </r>
  <r>
    <s v="Jun-2023"/>
    <d v="2023-06-15T02:09:41"/>
    <s v="Smart Watch"/>
    <n v="6"/>
    <n v="3500"/>
    <s v="East"/>
    <x v="244"/>
    <n v="21000"/>
  </r>
  <r>
    <s v="Jun-2023"/>
    <d v="2023-06-15T13:50:57"/>
    <s v="Mobile Cover"/>
    <n v="3"/>
    <n v="150"/>
    <s v="South"/>
    <x v="245"/>
    <n v="450"/>
  </r>
  <r>
    <s v="Jun-2023"/>
    <d v="2023-06-16T01:32:13"/>
    <s v="Keyboard"/>
    <n v="3"/>
    <n v="700"/>
    <s v="South"/>
    <x v="197"/>
    <n v="2100"/>
  </r>
  <r>
    <s v="Jun-2023"/>
    <d v="2023-06-16T13:13:29"/>
    <s v="Mobile Cover"/>
    <n v="3"/>
    <n v="3500"/>
    <s v="North"/>
    <x v="18"/>
    <n v="10500"/>
  </r>
  <r>
    <s v="Jun-2023"/>
    <d v="2023-06-17T00:54:45"/>
    <s v="Headphones"/>
    <n v="1"/>
    <n v="700"/>
    <s v="East"/>
    <x v="123"/>
    <n v="700"/>
  </r>
  <r>
    <s v="Jun-2023"/>
    <d v="2023-06-17T12:36:01"/>
    <s v="Keyboard"/>
    <n v="6"/>
    <n v="700"/>
    <s v="West"/>
    <x v="246"/>
    <n v="4200"/>
  </r>
  <r>
    <s v="Jun-2023"/>
    <d v="2023-06-18T00:17:17"/>
    <s v="Headphones"/>
    <n v="4"/>
    <n v="450"/>
    <s v="East"/>
    <x v="247"/>
    <n v="1800"/>
  </r>
  <r>
    <s v="Jun-2023"/>
    <d v="2023-06-18T11:58:34"/>
    <s v="Wireless Mouse"/>
    <n v="4"/>
    <n v="700"/>
    <s v="South"/>
    <x v="134"/>
    <n v="2800"/>
  </r>
  <r>
    <s v="Jun-2023"/>
    <d v="2023-06-18T23:39:50"/>
    <s v="Keyboard"/>
    <n v="5"/>
    <n v="150"/>
    <s v="West"/>
    <x v="184"/>
    <n v="750"/>
  </r>
  <r>
    <s v="Jun-2023"/>
    <d v="2023-06-19T11:21:06"/>
    <s v="Wireless Mouse"/>
    <n v="5"/>
    <n v="1200"/>
    <s v="East"/>
    <x v="248"/>
    <n v="6000"/>
  </r>
  <r>
    <s v="Jun-2023"/>
    <d v="2023-06-19T23:02:22"/>
    <s v="Mobile Cover"/>
    <n v="5"/>
    <n v="1200"/>
    <s v="South"/>
    <x v="231"/>
    <n v="6000"/>
  </r>
  <r>
    <s v="Jun-2023"/>
    <d v="2023-06-20T10:43:38"/>
    <s v="Mobile Cover"/>
    <n v="3"/>
    <n v="1800"/>
    <s v="South"/>
    <x v="249"/>
    <n v="5400"/>
  </r>
  <r>
    <s v="Jun-2023"/>
    <d v="2023-06-20T22:24:54"/>
    <s v="Keyboard"/>
    <n v="4"/>
    <n v="3500"/>
    <s v="North"/>
    <x v="250"/>
    <n v="14000"/>
  </r>
  <r>
    <s v="Jun-2023"/>
    <d v="2023-06-21T10:06:10"/>
    <s v="Keyboard"/>
    <n v="6"/>
    <n v="150"/>
    <s v="North"/>
    <x v="105"/>
    <n v="900"/>
  </r>
  <r>
    <s v="Jun-2023"/>
    <d v="2023-06-21T21:47:26"/>
    <s v="Smart Watch"/>
    <n v="3"/>
    <n v="700"/>
    <s v="North"/>
    <x v="251"/>
    <n v="2100"/>
  </r>
  <r>
    <s v="Jun-2023"/>
    <d v="2023-06-22T09:28:42"/>
    <s v="Headphones"/>
    <n v="1"/>
    <n v="1200"/>
    <s v="South"/>
    <x v="252"/>
    <n v="1200"/>
  </r>
  <r>
    <s v="Jun-2023"/>
    <d v="2023-06-22T21:09:58"/>
    <s v="Smart Watch"/>
    <n v="5"/>
    <n v="150"/>
    <s v="East"/>
    <x v="195"/>
    <n v="750"/>
  </r>
  <r>
    <s v="Jun-2023"/>
    <d v="2023-06-23T08:51:14"/>
    <s v="Headphones"/>
    <n v="3"/>
    <n v="1200"/>
    <s v="North"/>
    <x v="253"/>
    <n v="3600"/>
  </r>
  <r>
    <s v="Jun-2023"/>
    <d v="2023-06-23T20:32:30"/>
    <s v="Smart Watch"/>
    <n v="3"/>
    <n v="700"/>
    <s v="East"/>
    <x v="210"/>
    <n v="2100"/>
  </r>
  <r>
    <s v="Jun-2023"/>
    <d v="2023-06-24T08:13:46"/>
    <s v="Wireless Mouse"/>
    <n v="1"/>
    <n v="1200"/>
    <s v="North"/>
    <x v="254"/>
    <n v="1200"/>
  </r>
  <r>
    <s v="Jun-2023"/>
    <d v="2023-06-24T19:55:02"/>
    <s v="Keyboard"/>
    <n v="2"/>
    <n v="3500"/>
    <s v="West"/>
    <x v="132"/>
    <n v="7000"/>
  </r>
  <r>
    <s v="Jun-2023"/>
    <d v="2023-06-25T07:36:18"/>
    <s v="Mobile Cover"/>
    <n v="4"/>
    <n v="3500"/>
    <s v="West"/>
    <x v="255"/>
    <n v="14000"/>
  </r>
  <r>
    <s v="Jun-2023"/>
    <d v="2023-06-25T19:17:34"/>
    <s v="Headphones"/>
    <n v="6"/>
    <n v="1800"/>
    <s v="North"/>
    <x v="256"/>
    <n v="10800"/>
  </r>
  <r>
    <s v="Jun-2023"/>
    <d v="2023-06-26T06:58:50"/>
    <s v="Headphones"/>
    <n v="2"/>
    <n v="1800"/>
    <s v="South"/>
    <x v="189"/>
    <n v="3600"/>
  </r>
  <r>
    <s v="Jun-2023"/>
    <d v="2023-06-26T18:40:06"/>
    <s v="Mobile Cover"/>
    <n v="5"/>
    <n v="1200"/>
    <s v="North"/>
    <x v="185"/>
    <n v="6000"/>
  </r>
  <r>
    <s v="Jun-2023"/>
    <d v="2023-06-27T06:21:22"/>
    <s v="Smart Watch"/>
    <n v="3"/>
    <n v="150"/>
    <s v="North"/>
    <x v="216"/>
    <n v="450"/>
  </r>
  <r>
    <s v="Jun-2023"/>
    <d v="2023-06-27T18:02:39"/>
    <s v="Headphones"/>
    <n v="1"/>
    <n v="3500"/>
    <s v="South"/>
    <x v="257"/>
    <n v="3500"/>
  </r>
  <r>
    <s v="Jun-2023"/>
    <d v="2023-06-28T05:43:55"/>
    <s v="Wireless Mouse"/>
    <n v="1"/>
    <n v="150"/>
    <s v="West"/>
    <x v="197"/>
    <n v="150"/>
  </r>
  <r>
    <s v="Jun-2023"/>
    <d v="2023-06-28T17:25:11"/>
    <s v="Keyboard"/>
    <n v="4"/>
    <n v="150"/>
    <s v="East"/>
    <x v="52"/>
    <n v="600"/>
  </r>
  <r>
    <s v="Jun-2023"/>
    <d v="2023-06-29T05:06:27"/>
    <s v="Mobile Cover"/>
    <n v="2"/>
    <n v="1200"/>
    <s v="North"/>
    <x v="258"/>
    <n v="2400"/>
  </r>
  <r>
    <s v="Jun-2023"/>
    <d v="2023-06-29T16:47:43"/>
    <s v="Keyboard"/>
    <n v="4"/>
    <n v="150"/>
    <s v="South"/>
    <x v="75"/>
    <n v="600"/>
  </r>
  <r>
    <s v="Jun-2023"/>
    <d v="2023-06-30T04:28:59"/>
    <s v="Headphones"/>
    <n v="3"/>
    <n v="3500"/>
    <s v="North"/>
    <x v="259"/>
    <n v="10500"/>
  </r>
  <r>
    <s v="Jun-2023"/>
    <d v="2023-06-30T16:10:15"/>
    <s v="Headphones"/>
    <n v="4"/>
    <n v="700"/>
    <s v="South"/>
    <x v="143"/>
    <n v="2800"/>
  </r>
  <r>
    <s v="Jul-2023"/>
    <d v="2023-07-01T03:51:31"/>
    <s v="Mobile Cover"/>
    <n v="6"/>
    <n v="1800"/>
    <s v="East"/>
    <x v="260"/>
    <n v="10800"/>
  </r>
  <r>
    <s v="Jul-2023"/>
    <d v="2023-07-01T15:32:47"/>
    <s v="Wireless Mouse"/>
    <n v="1"/>
    <n v="700"/>
    <s v="East"/>
    <x v="261"/>
    <n v="700"/>
  </r>
  <r>
    <s v="Jul-2023"/>
    <d v="2023-07-02T03:14:03"/>
    <s v="Laptop Bag"/>
    <n v="1"/>
    <n v="150"/>
    <s v="West"/>
    <x v="262"/>
    <n v="150"/>
  </r>
  <r>
    <s v="Jul-2023"/>
    <d v="2023-07-02T14:55:19"/>
    <s v="Mobile Cover"/>
    <n v="5"/>
    <n v="700"/>
    <s v="South"/>
    <x v="185"/>
    <n v="3500"/>
  </r>
  <r>
    <s v="Jul-2023"/>
    <d v="2023-07-03T02:36:35"/>
    <s v="Laptop Bag"/>
    <n v="5"/>
    <n v="3500"/>
    <s v="South"/>
    <x v="97"/>
    <n v="17500"/>
  </r>
  <r>
    <s v="Jul-2023"/>
    <d v="2023-07-03T14:17:51"/>
    <s v="Smart Watch"/>
    <n v="3"/>
    <n v="3500"/>
    <s v="West"/>
    <x v="263"/>
    <n v="10500"/>
  </r>
  <r>
    <s v="Jul-2023"/>
    <d v="2023-07-04T01:59:07"/>
    <s v="Laptop Bag"/>
    <n v="6"/>
    <n v="150"/>
    <s v="West"/>
    <x v="137"/>
    <n v="900"/>
  </r>
  <r>
    <s v="Jul-2023"/>
    <d v="2023-07-04T13:40:23"/>
    <s v="Wireless Mouse"/>
    <n v="2"/>
    <n v="1200"/>
    <s v="South"/>
    <x v="13"/>
    <n v="2400"/>
  </r>
  <r>
    <s v="Jul-2023"/>
    <d v="2023-07-05T01:21:39"/>
    <s v="Smart Watch"/>
    <n v="4"/>
    <n v="700"/>
    <s v="West"/>
    <x v="44"/>
    <n v="2800"/>
  </r>
  <r>
    <s v="Jul-2023"/>
    <d v="2023-07-05T13:02:55"/>
    <s v="Laptop Bag"/>
    <n v="3"/>
    <n v="1200"/>
    <s v="East"/>
    <x v="257"/>
    <n v="3600"/>
  </r>
  <r>
    <s v="Jul-2023"/>
    <d v="2023-07-06T00:44:11"/>
    <s v="Smart Watch"/>
    <n v="5"/>
    <n v="1200"/>
    <s v="North"/>
    <x v="264"/>
    <n v="6000"/>
  </r>
  <r>
    <s v="Jul-2023"/>
    <d v="2023-07-06T12:25:27"/>
    <s v="Laptop Bag"/>
    <n v="4"/>
    <n v="450"/>
    <s v="East"/>
    <x v="265"/>
    <n v="1800"/>
  </r>
  <r>
    <s v="Jul-2023"/>
    <d v="2023-07-07T00:06:43"/>
    <s v="Wireless Mouse"/>
    <n v="5"/>
    <n v="150"/>
    <s v="West"/>
    <x v="266"/>
    <n v="750"/>
  </r>
  <r>
    <s v="Jul-2023"/>
    <d v="2023-07-07T11:48:00"/>
    <s v="Laptop Bag"/>
    <n v="4"/>
    <n v="1800"/>
    <s v="South"/>
    <x v="259"/>
    <n v="7200"/>
  </r>
  <r>
    <s v="Jul-2023"/>
    <d v="2023-07-07T23:29:16"/>
    <s v="Laptop Bag"/>
    <n v="2"/>
    <n v="3500"/>
    <s v="South"/>
    <x v="19"/>
    <n v="7000"/>
  </r>
  <r>
    <s v="Jul-2023"/>
    <d v="2023-07-08T11:10:32"/>
    <s v="Laptop Bag"/>
    <n v="3"/>
    <n v="3500"/>
    <s v="East"/>
    <x v="13"/>
    <n v="10500"/>
  </r>
  <r>
    <s v="Jul-2023"/>
    <d v="2023-07-08T22:51:48"/>
    <s v="Mobile Cover"/>
    <n v="4"/>
    <n v="150"/>
    <s v="South"/>
    <x v="100"/>
    <n v="600"/>
  </r>
  <r>
    <s v="Jul-2023"/>
    <d v="2023-07-09T10:33:04"/>
    <s v="Mobile Cover"/>
    <n v="6"/>
    <n v="1800"/>
    <s v="West"/>
    <x v="171"/>
    <n v="10800"/>
  </r>
  <r>
    <s v="Jul-2023"/>
    <d v="2023-07-09T22:14:20"/>
    <s v="Mobile Cover"/>
    <n v="1"/>
    <n v="3500"/>
    <s v="East"/>
    <x v="267"/>
    <n v="3500"/>
  </r>
  <r>
    <s v="Jul-2023"/>
    <d v="2023-07-10T09:55:36"/>
    <s v="Wireless Mouse"/>
    <n v="6"/>
    <n v="150"/>
    <s v="South"/>
    <x v="268"/>
    <n v="900"/>
  </r>
  <r>
    <s v="Jul-2023"/>
    <d v="2023-07-10T21:36:52"/>
    <s v="Smart Watch"/>
    <n v="6"/>
    <n v="3500"/>
    <s v="North"/>
    <x v="94"/>
    <n v="21000"/>
  </r>
  <r>
    <s v="Jul-2023"/>
    <d v="2023-07-11T09:18:08"/>
    <s v="Headphones"/>
    <n v="1"/>
    <n v="1200"/>
    <s v="North"/>
    <x v="209"/>
    <n v="1200"/>
  </r>
  <r>
    <s v="Jul-2023"/>
    <d v="2023-07-11T20:59:24"/>
    <s v="Laptop Bag"/>
    <n v="6"/>
    <n v="700"/>
    <s v="West"/>
    <x v="80"/>
    <n v="4200"/>
  </r>
  <r>
    <s v="Jul-2023"/>
    <d v="2023-07-12T08:40:40"/>
    <s v="Laptop Bag"/>
    <n v="4"/>
    <n v="700"/>
    <s v="South"/>
    <x v="218"/>
    <n v="2800"/>
  </r>
  <r>
    <s v="Jul-2023"/>
    <d v="2023-07-12T20:21:56"/>
    <s v="Wireless Mouse"/>
    <n v="4"/>
    <n v="3500"/>
    <s v="West"/>
    <x v="269"/>
    <n v="14000"/>
  </r>
  <r>
    <s v="Jul-2023"/>
    <d v="2023-07-13T08:03:12"/>
    <s v="Laptop Bag"/>
    <n v="4"/>
    <n v="450"/>
    <s v="East"/>
    <x v="161"/>
    <n v="1800"/>
  </r>
  <r>
    <s v="Jul-2023"/>
    <d v="2023-07-13T19:44:28"/>
    <s v="Mobile Cover"/>
    <n v="1"/>
    <n v="1800"/>
    <s v="North"/>
    <x v="270"/>
    <n v="1800"/>
  </r>
  <r>
    <s v="Jul-2023"/>
    <d v="2023-07-14T07:25:44"/>
    <s v="Headphones"/>
    <n v="6"/>
    <n v="1800"/>
    <s v="East"/>
    <x v="271"/>
    <n v="10800"/>
  </r>
  <r>
    <s v="Jul-2023"/>
    <d v="2023-07-14T19:07:00"/>
    <s v="Keyboard"/>
    <n v="1"/>
    <n v="1800"/>
    <s v="South"/>
    <x v="272"/>
    <n v="1800"/>
  </r>
  <r>
    <s v="Jul-2023"/>
    <d v="2023-07-15T06:48:16"/>
    <s v="Laptop Bag"/>
    <n v="4"/>
    <n v="1200"/>
    <s v="West"/>
    <x v="68"/>
    <n v="4800"/>
  </r>
  <r>
    <s v="Jul-2023"/>
    <d v="2023-07-15T18:29:32"/>
    <s v="Mobile Cover"/>
    <n v="6"/>
    <n v="1800"/>
    <s v="West"/>
    <x v="147"/>
    <n v="10800"/>
  </r>
  <r>
    <s v="Jul-2023"/>
    <d v="2023-07-16T06:10:48"/>
    <s v="Keyboard"/>
    <n v="6"/>
    <n v="700"/>
    <s v="West"/>
    <x v="131"/>
    <n v="4200"/>
  </r>
  <r>
    <s v="Jul-2023"/>
    <d v="2023-07-16T17:52:04"/>
    <s v="Headphones"/>
    <n v="5"/>
    <n v="1200"/>
    <s v="East"/>
    <x v="273"/>
    <n v="6000"/>
  </r>
  <r>
    <s v="Jul-2023"/>
    <d v="2023-07-17T05:33:21"/>
    <s v="Keyboard"/>
    <n v="5"/>
    <n v="150"/>
    <s v="North"/>
    <x v="274"/>
    <n v="750"/>
  </r>
  <r>
    <s v="Jul-2023"/>
    <d v="2023-07-17T17:14:37"/>
    <s v="Mobile Cover"/>
    <n v="2"/>
    <n v="1800"/>
    <s v="East"/>
    <x v="37"/>
    <n v="3600"/>
  </r>
  <r>
    <s v="Jul-2023"/>
    <d v="2023-07-18T04:55:53"/>
    <s v="Smart Watch"/>
    <n v="3"/>
    <n v="1800"/>
    <s v="East"/>
    <x v="275"/>
    <n v="5400"/>
  </r>
  <r>
    <s v="Jul-2023"/>
    <d v="2023-07-18T16:37:09"/>
    <s v="Smart Watch"/>
    <n v="5"/>
    <n v="150"/>
    <s v="South"/>
    <x v="276"/>
    <n v="750"/>
  </r>
  <r>
    <s v="Jul-2023"/>
    <d v="2023-07-19T04:18:25"/>
    <s v="Keyboard"/>
    <n v="1"/>
    <n v="1800"/>
    <s v="South"/>
    <x v="277"/>
    <n v="1800"/>
  </r>
  <r>
    <s v="Jul-2023"/>
    <d v="2023-07-19T15:59:41"/>
    <s v="Wireless Mouse"/>
    <n v="5"/>
    <n v="150"/>
    <s v="South"/>
    <x v="26"/>
    <n v="750"/>
  </r>
  <r>
    <s v="Jul-2023"/>
    <d v="2023-07-20T03:40:57"/>
    <s v="Keyboard"/>
    <n v="2"/>
    <n v="1200"/>
    <s v="North"/>
    <x v="65"/>
    <n v="2400"/>
  </r>
  <r>
    <s v="Jul-2023"/>
    <d v="2023-07-20T15:22:13"/>
    <s v="Laptop Bag"/>
    <n v="6"/>
    <n v="700"/>
    <s v="North"/>
    <x v="278"/>
    <n v="4200"/>
  </r>
  <r>
    <s v="Jul-2023"/>
    <d v="2023-07-21T03:03:29"/>
    <s v="Laptop Bag"/>
    <n v="2"/>
    <n v="150"/>
    <s v="South"/>
    <x v="279"/>
    <n v="300"/>
  </r>
  <r>
    <s v="Jul-2023"/>
    <d v="2023-07-21T14:44:45"/>
    <s v="Smart Watch"/>
    <n v="6"/>
    <n v="450"/>
    <s v="South"/>
    <x v="102"/>
    <n v="2700"/>
  </r>
  <r>
    <s v="Jul-2023"/>
    <d v="2023-07-22T02:26:01"/>
    <s v="Wireless Mouse"/>
    <n v="6"/>
    <n v="150"/>
    <s v="North"/>
    <x v="51"/>
    <n v="900"/>
  </r>
  <r>
    <s v="Jul-2023"/>
    <d v="2023-07-22T14:07:17"/>
    <s v="Mobile Cover"/>
    <n v="3"/>
    <n v="1800"/>
    <s v="West"/>
    <x v="274"/>
    <n v="5400"/>
  </r>
  <r>
    <s v="Jul-2023"/>
    <d v="2023-07-23T01:48:33"/>
    <s v="Laptop Bag"/>
    <n v="5"/>
    <n v="1200"/>
    <s v="North"/>
    <x v="280"/>
    <n v="6000"/>
  </r>
  <r>
    <s v="Jul-2023"/>
    <d v="2023-07-23T13:29:49"/>
    <s v="Smart Watch"/>
    <n v="1"/>
    <n v="3500"/>
    <s v="North"/>
    <x v="281"/>
    <n v="3500"/>
  </r>
  <r>
    <s v="Jul-2023"/>
    <d v="2023-07-24T01:11:05"/>
    <s v="Headphones"/>
    <n v="1"/>
    <n v="1200"/>
    <s v="North"/>
    <x v="282"/>
    <n v="1200"/>
  </r>
  <r>
    <s v="Jul-2023"/>
    <d v="2023-07-24T12:52:21"/>
    <s v="Smart Watch"/>
    <n v="4"/>
    <n v="3500"/>
    <s v="South"/>
    <x v="261"/>
    <n v="14000"/>
  </r>
  <r>
    <s v="Jul-2023"/>
    <d v="2023-07-25T00:33:37"/>
    <s v="Laptop Bag"/>
    <n v="6"/>
    <n v="150"/>
    <s v="West"/>
    <x v="283"/>
    <n v="900"/>
  </r>
  <r>
    <s v="Jul-2023"/>
    <d v="2023-07-25T12:14:53"/>
    <s v="Laptop Bag"/>
    <n v="1"/>
    <n v="700"/>
    <s v="North"/>
    <x v="240"/>
    <n v="700"/>
  </r>
  <r>
    <s v="Jul-2023"/>
    <d v="2023-07-25T23:56:09"/>
    <s v="Smart Watch"/>
    <n v="3"/>
    <n v="450"/>
    <s v="South"/>
    <x v="57"/>
    <n v="1350"/>
  </r>
  <r>
    <s v="Jul-2023"/>
    <d v="2023-07-26T11:37:25"/>
    <s v="Mobile Cover"/>
    <n v="6"/>
    <n v="1200"/>
    <s v="East"/>
    <x v="284"/>
    <n v="7200"/>
  </r>
  <r>
    <s v="Jul-2023"/>
    <d v="2023-07-26T23:18:42"/>
    <s v="Keyboard"/>
    <n v="3"/>
    <n v="1800"/>
    <s v="East"/>
    <x v="285"/>
    <n v="5400"/>
  </r>
  <r>
    <s v="Jul-2023"/>
    <d v="2023-07-27T10:59:58"/>
    <s v="Laptop Bag"/>
    <n v="1"/>
    <n v="3500"/>
    <s v="North"/>
    <x v="84"/>
    <n v="3500"/>
  </r>
  <r>
    <s v="Jul-2023"/>
    <d v="2023-07-27T22:41:14"/>
    <s v="Smart Watch"/>
    <n v="1"/>
    <n v="1800"/>
    <s v="East"/>
    <x v="286"/>
    <n v="1800"/>
  </r>
  <r>
    <s v="Jul-2023"/>
    <d v="2023-07-28T10:22:30"/>
    <s v="Smart Watch"/>
    <n v="4"/>
    <n v="700"/>
    <s v="West"/>
    <x v="287"/>
    <n v="2800"/>
  </r>
  <r>
    <s v="Jul-2023"/>
    <d v="2023-07-28T22:03:46"/>
    <s v="Wireless Mouse"/>
    <n v="1"/>
    <n v="3500"/>
    <s v="East"/>
    <x v="130"/>
    <n v="3500"/>
  </r>
  <r>
    <s v="Jul-2023"/>
    <d v="2023-07-29T09:45:02"/>
    <s v="Keyboard"/>
    <n v="6"/>
    <n v="1200"/>
    <s v="East"/>
    <x v="288"/>
    <n v="7200"/>
  </r>
  <r>
    <s v="Jul-2023"/>
    <d v="2023-07-29T21:26:18"/>
    <s v="Headphones"/>
    <n v="6"/>
    <n v="150"/>
    <s v="West"/>
    <x v="289"/>
    <n v="900"/>
  </r>
  <r>
    <s v="Jul-2023"/>
    <d v="2023-07-30T09:07:34"/>
    <s v="Mobile Cover"/>
    <n v="6"/>
    <n v="1800"/>
    <s v="North"/>
    <x v="290"/>
    <n v="10800"/>
  </r>
  <r>
    <s v="Jul-2023"/>
    <d v="2023-07-30T20:48:50"/>
    <s v="Headphones"/>
    <n v="4"/>
    <n v="700"/>
    <s v="North"/>
    <x v="30"/>
    <n v="2800"/>
  </r>
  <r>
    <s v="Jul-2023"/>
    <d v="2023-07-31T08:30:06"/>
    <s v="Keyboard"/>
    <n v="4"/>
    <n v="1200"/>
    <s v="West"/>
    <x v="291"/>
    <n v="4800"/>
  </r>
  <r>
    <s v="Jul-2023"/>
    <d v="2023-07-31T20:11:22"/>
    <s v="Keyboard"/>
    <n v="1"/>
    <n v="1200"/>
    <s v="West"/>
    <x v="68"/>
    <n v="1200"/>
  </r>
  <r>
    <s v="Aug-2023"/>
    <d v="2023-08-01T07:52:38"/>
    <s v="Keyboard"/>
    <n v="2"/>
    <n v="1200"/>
    <s v="West"/>
    <x v="146"/>
    <n v="2400"/>
  </r>
  <r>
    <s v="Aug-2023"/>
    <d v="2023-08-01T19:33:54"/>
    <s v="Headphones"/>
    <n v="2"/>
    <n v="1200"/>
    <s v="East"/>
    <x v="31"/>
    <n v="2400"/>
  </r>
  <r>
    <s v="Aug-2023"/>
    <d v="2023-08-02T07:15:10"/>
    <s v="Keyboard"/>
    <n v="4"/>
    <n v="3500"/>
    <s v="West"/>
    <x v="292"/>
    <n v="14000"/>
  </r>
  <r>
    <s v="Aug-2023"/>
    <d v="2023-08-02T18:56:26"/>
    <s v="Smart Watch"/>
    <n v="1"/>
    <n v="1200"/>
    <s v="South"/>
    <x v="293"/>
    <n v="1200"/>
  </r>
  <r>
    <s v="Aug-2023"/>
    <d v="2023-08-03T06:37:42"/>
    <s v="Headphones"/>
    <n v="2"/>
    <n v="1800"/>
    <s v="East"/>
    <x v="37"/>
    <n v="3600"/>
  </r>
  <r>
    <s v="Aug-2023"/>
    <d v="2023-08-03T18:18:58"/>
    <s v="Keyboard"/>
    <n v="1"/>
    <n v="700"/>
    <s v="North"/>
    <x v="254"/>
    <n v="700"/>
  </r>
  <r>
    <s v="Aug-2023"/>
    <d v="2023-08-04T06:00:14"/>
    <s v="Smart Watch"/>
    <n v="1"/>
    <n v="3500"/>
    <s v="North"/>
    <x v="219"/>
    <n v="3500"/>
  </r>
  <r>
    <s v="Aug-2023"/>
    <d v="2023-08-04T17:41:30"/>
    <s v="Wireless Mouse"/>
    <n v="1"/>
    <n v="1200"/>
    <s v="North"/>
    <x v="142"/>
    <n v="1200"/>
  </r>
  <r>
    <s v="Aug-2023"/>
    <d v="2023-08-05T05:22:47"/>
    <s v="Keyboard"/>
    <n v="5"/>
    <n v="450"/>
    <s v="East"/>
    <x v="28"/>
    <n v="2250"/>
  </r>
  <r>
    <s v="Aug-2023"/>
    <d v="2023-08-05T17:04:03"/>
    <s v="Headphones"/>
    <n v="6"/>
    <n v="450"/>
    <s v="South"/>
    <x v="294"/>
    <n v="2700"/>
  </r>
  <r>
    <s v="Aug-2023"/>
    <d v="2023-08-06T04:45:19"/>
    <s v="Laptop Bag"/>
    <n v="1"/>
    <n v="700"/>
    <s v="West"/>
    <x v="295"/>
    <n v="700"/>
  </r>
  <r>
    <s v="Aug-2023"/>
    <d v="2023-08-06T16:26:35"/>
    <s v="Keyboard"/>
    <n v="5"/>
    <n v="150"/>
    <s v="West"/>
    <x v="31"/>
    <n v="750"/>
  </r>
  <r>
    <s v="Aug-2023"/>
    <d v="2023-08-07T04:07:51"/>
    <s v="Laptop Bag"/>
    <n v="4"/>
    <n v="150"/>
    <s v="North"/>
    <x v="296"/>
    <n v="600"/>
  </r>
  <r>
    <s v="Aug-2023"/>
    <d v="2023-08-07T15:49:07"/>
    <s v="Smart Watch"/>
    <n v="2"/>
    <n v="3500"/>
    <s v="North"/>
    <x v="2"/>
    <n v="7000"/>
  </r>
  <r>
    <s v="Aug-2023"/>
    <d v="2023-08-08T03:30:23"/>
    <s v="Wireless Mouse"/>
    <n v="6"/>
    <n v="3500"/>
    <s v="East"/>
    <x v="79"/>
    <n v="21000"/>
  </r>
  <r>
    <s v="Aug-2023"/>
    <d v="2023-08-08T15:11:39"/>
    <s v="Mobile Cover"/>
    <n v="2"/>
    <n v="3500"/>
    <s v="South"/>
    <x v="297"/>
    <n v="7000"/>
  </r>
  <r>
    <s v="Aug-2023"/>
    <d v="2023-08-09T02:52:55"/>
    <s v="Wireless Mouse"/>
    <n v="6"/>
    <n v="150"/>
    <s v="West"/>
    <x v="298"/>
    <n v="900"/>
  </r>
  <r>
    <s v="Aug-2023"/>
    <d v="2023-08-09T14:34:11"/>
    <s v="Keyboard"/>
    <n v="2"/>
    <n v="450"/>
    <s v="East"/>
    <x v="299"/>
    <n v="900"/>
  </r>
  <r>
    <s v="Aug-2023"/>
    <d v="2023-08-10T02:15:27"/>
    <s v="Laptop Bag"/>
    <n v="6"/>
    <n v="150"/>
    <s v="West"/>
    <x v="163"/>
    <n v="900"/>
  </r>
  <r>
    <s v="Aug-2023"/>
    <d v="2023-08-10T13:56:43"/>
    <s v="Laptop Bag"/>
    <n v="2"/>
    <n v="1800"/>
    <s v="North"/>
    <x v="300"/>
    <n v="3600"/>
  </r>
  <r>
    <s v="Aug-2023"/>
    <d v="2023-08-11T01:37:59"/>
    <s v="Headphones"/>
    <n v="2"/>
    <n v="1200"/>
    <s v="West"/>
    <x v="301"/>
    <n v="2400"/>
  </r>
  <r>
    <s v="Aug-2023"/>
    <d v="2023-08-11T13:19:15"/>
    <s v="Laptop Bag"/>
    <n v="2"/>
    <n v="3500"/>
    <s v="South"/>
    <x v="302"/>
    <n v="7000"/>
  </r>
  <r>
    <s v="Aug-2023"/>
    <d v="2023-08-12T01:00:31"/>
    <s v="Headphones"/>
    <n v="2"/>
    <n v="450"/>
    <s v="South"/>
    <x v="158"/>
    <n v="900"/>
  </r>
  <r>
    <s v="Aug-2023"/>
    <d v="2023-08-12T12:41:47"/>
    <s v="Smart Watch"/>
    <n v="4"/>
    <n v="700"/>
    <s v="North"/>
    <x v="80"/>
    <n v="2800"/>
  </r>
  <r>
    <s v="Aug-2023"/>
    <d v="2023-08-13T00:23:03"/>
    <s v="Mobile Cover"/>
    <n v="1"/>
    <n v="700"/>
    <s v="South"/>
    <x v="250"/>
    <n v="700"/>
  </r>
  <r>
    <s v="Aug-2023"/>
    <d v="2023-08-13T12:04:19"/>
    <s v="Keyboard"/>
    <n v="3"/>
    <n v="1200"/>
    <s v="South"/>
    <x v="200"/>
    <n v="3600"/>
  </r>
  <r>
    <s v="Aug-2023"/>
    <d v="2023-08-13T23:45:35"/>
    <s v="Headphones"/>
    <n v="5"/>
    <n v="450"/>
    <s v="East"/>
    <x v="160"/>
    <n v="2250"/>
  </r>
  <r>
    <s v="Aug-2023"/>
    <d v="2023-08-14T11:26:51"/>
    <s v="Mobile Cover"/>
    <n v="3"/>
    <n v="150"/>
    <s v="West"/>
    <x v="41"/>
    <n v="450"/>
  </r>
  <r>
    <s v="Aug-2023"/>
    <d v="2023-08-14T23:08:08"/>
    <s v="Laptop Bag"/>
    <n v="3"/>
    <n v="150"/>
    <s v="North"/>
    <x v="249"/>
    <n v="450"/>
  </r>
  <r>
    <s v="Aug-2023"/>
    <d v="2023-08-15T10:49:24"/>
    <s v="Laptop Bag"/>
    <n v="6"/>
    <n v="1800"/>
    <s v="North"/>
    <x v="303"/>
    <n v="10800"/>
  </r>
  <r>
    <s v="Aug-2023"/>
    <d v="2023-08-15T22:30:40"/>
    <s v="Mobile Cover"/>
    <n v="1"/>
    <n v="1800"/>
    <s v="North"/>
    <x v="304"/>
    <n v="1800"/>
  </r>
  <r>
    <s v="Aug-2023"/>
    <d v="2023-08-16T10:11:56"/>
    <s v="Laptop Bag"/>
    <n v="6"/>
    <n v="150"/>
    <s v="North"/>
    <x v="133"/>
    <n v="900"/>
  </r>
  <r>
    <s v="Aug-2023"/>
    <d v="2023-08-16T21:53:12"/>
    <s v="Smart Watch"/>
    <n v="1"/>
    <n v="700"/>
    <s v="North"/>
    <x v="305"/>
    <n v="700"/>
  </r>
  <r>
    <s v="Aug-2023"/>
    <d v="2023-08-17T09:34:28"/>
    <s v="Smart Watch"/>
    <n v="1"/>
    <n v="3500"/>
    <s v="South"/>
    <x v="306"/>
    <n v="3500"/>
  </r>
  <r>
    <s v="Aug-2023"/>
    <d v="2023-08-17T21:15:44"/>
    <s v="Mobile Cover"/>
    <n v="2"/>
    <n v="700"/>
    <s v="East"/>
    <x v="307"/>
    <n v="1400"/>
  </r>
  <r>
    <s v="Aug-2023"/>
    <d v="2023-08-18T08:57:00"/>
    <s v="Headphones"/>
    <n v="4"/>
    <n v="1800"/>
    <s v="North"/>
    <x v="308"/>
    <n v="7200"/>
  </r>
  <r>
    <s v="Aug-2023"/>
    <d v="2023-08-18T20:38:16"/>
    <s v="Headphones"/>
    <n v="2"/>
    <n v="1200"/>
    <s v="East"/>
    <x v="309"/>
    <n v="2400"/>
  </r>
  <r>
    <s v="Aug-2023"/>
    <d v="2023-08-19T08:19:32"/>
    <s v="Mobile Cover"/>
    <n v="4"/>
    <n v="150"/>
    <s v="East"/>
    <x v="310"/>
    <n v="600"/>
  </r>
  <r>
    <s v="Aug-2023"/>
    <d v="2023-08-19T20:00:48"/>
    <s v="Headphones"/>
    <n v="6"/>
    <n v="1800"/>
    <s v="South"/>
    <x v="181"/>
    <n v="10800"/>
  </r>
  <r>
    <s v="Aug-2023"/>
    <d v="2023-08-20T07:42:04"/>
    <s v="Headphones"/>
    <n v="4"/>
    <n v="1800"/>
    <s v="North"/>
    <x v="311"/>
    <n v="7200"/>
  </r>
  <r>
    <s v="Aug-2023"/>
    <d v="2023-08-20T19:23:20"/>
    <s v="Smart Watch"/>
    <n v="6"/>
    <n v="3500"/>
    <s v="South"/>
    <x v="102"/>
    <n v="21000"/>
  </r>
  <r>
    <s v="Aug-2023"/>
    <d v="2023-08-21T07:04:36"/>
    <s v="Headphones"/>
    <n v="3"/>
    <n v="150"/>
    <s v="North"/>
    <x v="242"/>
    <n v="450"/>
  </r>
  <r>
    <s v="Aug-2023"/>
    <d v="2023-08-21T18:45:52"/>
    <s v="Wireless Mouse"/>
    <n v="3"/>
    <n v="3500"/>
    <s v="South"/>
    <x v="224"/>
    <n v="10500"/>
  </r>
  <r>
    <s v="Aug-2023"/>
    <d v="2023-08-22T06:27:08"/>
    <s v="Keyboard"/>
    <n v="4"/>
    <n v="150"/>
    <s v="East"/>
    <x v="225"/>
    <n v="600"/>
  </r>
  <r>
    <s v="Aug-2023"/>
    <d v="2023-08-22T18:08:24"/>
    <s v="Laptop Bag"/>
    <n v="4"/>
    <n v="3500"/>
    <s v="North"/>
    <x v="312"/>
    <n v="14000"/>
  </r>
  <r>
    <s v="Aug-2023"/>
    <d v="2023-08-23T05:49:40"/>
    <s v="Wireless Mouse"/>
    <n v="6"/>
    <n v="700"/>
    <s v="West"/>
    <x v="175"/>
    <n v="4200"/>
  </r>
  <r>
    <s v="Aug-2023"/>
    <d v="2023-08-23T17:30:56"/>
    <s v="Headphones"/>
    <n v="2"/>
    <n v="1200"/>
    <s v="East"/>
    <x v="313"/>
    <n v="2400"/>
  </r>
  <r>
    <s v="Aug-2023"/>
    <d v="2023-08-24T05:12:12"/>
    <s v="Smart Watch"/>
    <n v="6"/>
    <n v="1200"/>
    <s v="West"/>
    <x v="98"/>
    <n v="7200"/>
  </r>
  <r>
    <s v="Aug-2023"/>
    <d v="2023-08-24T16:53:29"/>
    <s v="Mobile Cover"/>
    <n v="2"/>
    <n v="150"/>
    <s v="East"/>
    <x v="205"/>
    <n v="300"/>
  </r>
  <r>
    <s v="Aug-2023"/>
    <d v="2023-08-25T04:34:45"/>
    <s v="Headphones"/>
    <n v="3"/>
    <n v="450"/>
    <s v="South"/>
    <x v="314"/>
    <n v="1350"/>
  </r>
  <r>
    <s v="Aug-2023"/>
    <d v="2023-08-25T16:16:01"/>
    <s v="Smart Watch"/>
    <n v="1"/>
    <n v="1800"/>
    <s v="North"/>
    <x v="177"/>
    <n v="1800"/>
  </r>
  <r>
    <s v="Aug-2023"/>
    <d v="2023-08-26T03:57:17"/>
    <s v="Keyboard"/>
    <n v="4"/>
    <n v="1800"/>
    <s v="East"/>
    <x v="10"/>
    <n v="7200"/>
  </r>
  <r>
    <s v="Aug-2023"/>
    <d v="2023-08-26T15:38:33"/>
    <s v="Headphones"/>
    <n v="2"/>
    <n v="150"/>
    <s v="South"/>
    <x v="306"/>
    <n v="300"/>
  </r>
  <r>
    <s v="Aug-2023"/>
    <d v="2023-08-27T03:19:49"/>
    <s v="Mobile Cover"/>
    <n v="6"/>
    <n v="3500"/>
    <s v="North"/>
    <x v="26"/>
    <n v="21000"/>
  </r>
  <r>
    <s v="Aug-2023"/>
    <d v="2023-08-27T15:01:05"/>
    <s v="Smart Watch"/>
    <n v="3"/>
    <n v="450"/>
    <s v="North"/>
    <x v="128"/>
    <n v="1350"/>
  </r>
  <r>
    <s v="Aug-2023"/>
    <d v="2023-08-28T02:42:21"/>
    <s v="Smart Watch"/>
    <n v="2"/>
    <n v="700"/>
    <s v="East"/>
    <x v="315"/>
    <n v="1400"/>
  </r>
  <r>
    <s v="Aug-2023"/>
    <d v="2023-08-28T14:23:37"/>
    <s v="Smart Watch"/>
    <n v="6"/>
    <n v="3500"/>
    <s v="North"/>
    <x v="19"/>
    <n v="21000"/>
  </r>
  <r>
    <s v="Aug-2023"/>
    <d v="2023-08-29T02:04:53"/>
    <s v="Keyboard"/>
    <n v="4"/>
    <n v="3500"/>
    <s v="East"/>
    <x v="234"/>
    <n v="14000"/>
  </r>
  <r>
    <s v="Aug-2023"/>
    <d v="2023-08-29T13:46:09"/>
    <s v="Headphones"/>
    <n v="4"/>
    <n v="150"/>
    <s v="North"/>
    <x v="70"/>
    <n v="600"/>
  </r>
  <r>
    <s v="Aug-2023"/>
    <d v="2023-08-30T01:27:25"/>
    <s v="Keyboard"/>
    <n v="5"/>
    <n v="150"/>
    <s v="West"/>
    <x v="316"/>
    <n v="750"/>
  </r>
  <r>
    <s v="Aug-2023"/>
    <d v="2023-08-30T13:08:41"/>
    <s v="Laptop Bag"/>
    <n v="1"/>
    <n v="1800"/>
    <s v="South"/>
    <x v="193"/>
    <n v="1800"/>
  </r>
  <r>
    <s v="Aug-2023"/>
    <d v="2023-08-31T00:49:57"/>
    <s v="Laptop Bag"/>
    <n v="5"/>
    <n v="150"/>
    <s v="West"/>
    <x v="317"/>
    <n v="750"/>
  </r>
  <r>
    <s v="Aug-2023"/>
    <d v="2023-08-31T12:31:13"/>
    <s v="Headphones"/>
    <n v="3"/>
    <n v="150"/>
    <s v="East"/>
    <x v="22"/>
    <n v="450"/>
  </r>
  <r>
    <s v="Sep-2023"/>
    <d v="2023-09-01T00:12:29"/>
    <s v="Keyboard"/>
    <n v="2"/>
    <n v="150"/>
    <s v="West"/>
    <x v="49"/>
    <n v="300"/>
  </r>
  <r>
    <s v="Sep-2023"/>
    <d v="2023-09-01T11:53:45"/>
    <s v="Mobile Cover"/>
    <n v="3"/>
    <n v="1800"/>
    <s v="East"/>
    <x v="318"/>
    <n v="5400"/>
  </r>
  <r>
    <s v="Sep-2023"/>
    <d v="2023-09-01T23:35:01"/>
    <s v="Smart Watch"/>
    <n v="6"/>
    <n v="700"/>
    <s v="North"/>
    <x v="178"/>
    <n v="4200"/>
  </r>
  <r>
    <s v="Sep-2023"/>
    <d v="2023-09-02T11:16:17"/>
    <s v="Smart Watch"/>
    <n v="4"/>
    <n v="700"/>
    <s v="North"/>
    <x v="319"/>
    <n v="2800"/>
  </r>
  <r>
    <s v="Sep-2023"/>
    <d v="2023-09-02T22:57:34"/>
    <s v="Headphones"/>
    <n v="5"/>
    <n v="150"/>
    <s v="East"/>
    <x v="156"/>
    <n v="750"/>
  </r>
  <r>
    <s v="Sep-2023"/>
    <d v="2023-09-03T10:38:50"/>
    <s v="Laptop Bag"/>
    <n v="5"/>
    <n v="1800"/>
    <s v="West"/>
    <x v="24"/>
    <n v="9000"/>
  </r>
  <r>
    <s v="Sep-2023"/>
    <d v="2023-09-03T22:20:06"/>
    <s v="Laptop Bag"/>
    <n v="5"/>
    <n v="700"/>
    <s v="North"/>
    <x v="28"/>
    <n v="3500"/>
  </r>
  <r>
    <s v="Sep-2023"/>
    <d v="2023-09-04T10:01:22"/>
    <s v="Smart Watch"/>
    <n v="3"/>
    <n v="3500"/>
    <s v="South"/>
    <x v="320"/>
    <n v="10500"/>
  </r>
  <r>
    <s v="Sep-2023"/>
    <d v="2023-09-04T21:42:38"/>
    <s v="Headphones"/>
    <n v="4"/>
    <n v="700"/>
    <s v="North"/>
    <x v="204"/>
    <n v="2800"/>
  </r>
  <r>
    <s v="Sep-2023"/>
    <d v="2023-09-05T09:23:54"/>
    <s v="Keyboard"/>
    <n v="2"/>
    <n v="700"/>
    <s v="South"/>
    <x v="321"/>
    <n v="1400"/>
  </r>
  <r>
    <s v="Sep-2023"/>
    <d v="2023-09-05T21:05:10"/>
    <s v="Laptop Bag"/>
    <n v="6"/>
    <n v="1800"/>
    <s v="West"/>
    <x v="322"/>
    <n v="10800"/>
  </r>
  <r>
    <s v="Sep-2023"/>
    <d v="2023-09-06T08:46:26"/>
    <s v="Keyboard"/>
    <n v="2"/>
    <n v="3500"/>
    <s v="South"/>
    <x v="323"/>
    <n v="7000"/>
  </r>
  <r>
    <s v="Sep-2023"/>
    <d v="2023-09-06T20:27:42"/>
    <s v="Laptop Bag"/>
    <n v="3"/>
    <n v="1800"/>
    <s v="South"/>
    <x v="169"/>
    <n v="5400"/>
  </r>
  <r>
    <s v="Sep-2023"/>
    <d v="2023-09-07T08:08:58"/>
    <s v="Laptop Bag"/>
    <n v="6"/>
    <n v="150"/>
    <s v="South"/>
    <x v="324"/>
    <n v="900"/>
  </r>
  <r>
    <s v="Sep-2023"/>
    <d v="2023-09-07T19:50:14"/>
    <s v="Wireless Mouse"/>
    <n v="5"/>
    <n v="1200"/>
    <s v="South"/>
    <x v="325"/>
    <n v="6000"/>
  </r>
  <r>
    <s v="Sep-2023"/>
    <d v="2023-09-08T07:31:30"/>
    <s v="Laptop Bag"/>
    <n v="1"/>
    <n v="700"/>
    <s v="North"/>
    <x v="168"/>
    <n v="700"/>
  </r>
  <r>
    <s v="Sep-2023"/>
    <d v="2023-09-08T19:12:46"/>
    <s v="Mobile Cover"/>
    <n v="3"/>
    <n v="1200"/>
    <s v="South"/>
    <x v="204"/>
    <n v="3600"/>
  </r>
  <r>
    <s v="Sep-2023"/>
    <d v="2023-09-09T06:54:02"/>
    <s v="Headphones"/>
    <n v="3"/>
    <n v="1800"/>
    <s v="North"/>
    <x v="86"/>
    <n v="5400"/>
  </r>
  <r>
    <s v="Sep-2023"/>
    <d v="2023-09-09T18:35:18"/>
    <s v="Headphones"/>
    <n v="4"/>
    <n v="1800"/>
    <s v="South"/>
    <x v="326"/>
    <n v="7200"/>
  </r>
  <r>
    <s v="Sep-2023"/>
    <d v="2023-09-10T06:16:34"/>
    <s v="Keyboard"/>
    <n v="2"/>
    <n v="1800"/>
    <s v="East"/>
    <x v="263"/>
    <n v="3600"/>
  </r>
  <r>
    <s v="Sep-2023"/>
    <d v="2023-09-10T17:57:50"/>
    <s v="Laptop Bag"/>
    <n v="3"/>
    <n v="1200"/>
    <s v="West"/>
    <x v="327"/>
    <n v="3600"/>
  </r>
  <r>
    <s v="Sep-2023"/>
    <d v="2023-09-11T05:39:06"/>
    <s v="Mobile Cover"/>
    <n v="3"/>
    <n v="1800"/>
    <s v="South"/>
    <x v="81"/>
    <n v="5400"/>
  </r>
  <r>
    <s v="Sep-2023"/>
    <d v="2023-09-11T17:20:22"/>
    <s v="Keyboard"/>
    <n v="5"/>
    <n v="150"/>
    <s v="East"/>
    <x v="165"/>
    <n v="750"/>
  </r>
  <r>
    <s v="Sep-2023"/>
    <d v="2023-09-12T05:01:38"/>
    <s v="Wireless Mouse"/>
    <n v="5"/>
    <n v="1800"/>
    <s v="South"/>
    <x v="328"/>
    <n v="9000"/>
  </r>
  <r>
    <s v="Sep-2023"/>
    <d v="2023-09-12T16:42:55"/>
    <s v="Keyboard"/>
    <n v="6"/>
    <n v="450"/>
    <s v="South"/>
    <x v="135"/>
    <n v="2700"/>
  </r>
  <r>
    <s v="Sep-2023"/>
    <d v="2023-09-13T04:24:11"/>
    <s v="Keyboard"/>
    <n v="1"/>
    <n v="1200"/>
    <s v="South"/>
    <x v="17"/>
    <n v="1200"/>
  </r>
  <r>
    <s v="Sep-2023"/>
    <d v="2023-09-13T16:05:27"/>
    <s v="Laptop Bag"/>
    <n v="4"/>
    <n v="450"/>
    <s v="East"/>
    <x v="327"/>
    <n v="1800"/>
  </r>
  <r>
    <s v="Sep-2023"/>
    <d v="2023-09-14T03:46:43"/>
    <s v="Wireless Mouse"/>
    <n v="1"/>
    <n v="1800"/>
    <s v="West"/>
    <x v="6"/>
    <n v="1800"/>
  </r>
  <r>
    <s v="Sep-2023"/>
    <d v="2023-09-14T15:27:59"/>
    <s v="Keyboard"/>
    <n v="6"/>
    <n v="150"/>
    <s v="East"/>
    <x v="36"/>
    <n v="900"/>
  </r>
  <r>
    <s v="Sep-2023"/>
    <d v="2023-09-15T03:09:15"/>
    <s v="Mobile Cover"/>
    <n v="5"/>
    <n v="700"/>
    <s v="West"/>
    <x v="122"/>
    <n v="3500"/>
  </r>
  <r>
    <s v="Sep-2023"/>
    <d v="2023-09-15T14:50:31"/>
    <s v="Mobile Cover"/>
    <n v="2"/>
    <n v="3500"/>
    <s v="South"/>
    <x v="57"/>
    <n v="7000"/>
  </r>
  <r>
    <s v="Sep-2023"/>
    <d v="2023-09-16T02:31:47"/>
    <s v="Headphones"/>
    <n v="5"/>
    <n v="3500"/>
    <s v="North"/>
    <x v="26"/>
    <n v="17500"/>
  </r>
  <r>
    <s v="Sep-2023"/>
    <d v="2023-09-16T14:13:03"/>
    <s v="Wireless Mouse"/>
    <n v="4"/>
    <n v="1800"/>
    <s v="South"/>
    <x v="152"/>
    <n v="7200"/>
  </r>
  <r>
    <s v="Sep-2023"/>
    <d v="2023-09-17T01:54:19"/>
    <s v="Wireless Mouse"/>
    <n v="5"/>
    <n v="150"/>
    <s v="West"/>
    <x v="329"/>
    <n v="750"/>
  </r>
  <r>
    <s v="Sep-2023"/>
    <d v="2023-09-17T13:35:35"/>
    <s v="Headphones"/>
    <n v="4"/>
    <n v="1200"/>
    <s v="East"/>
    <x v="105"/>
    <n v="4800"/>
  </r>
  <r>
    <s v="Sep-2023"/>
    <d v="2023-09-18T01:16:51"/>
    <s v="Keyboard"/>
    <n v="4"/>
    <n v="450"/>
    <s v="South"/>
    <x v="25"/>
    <n v="1800"/>
  </r>
  <r>
    <s v="Sep-2023"/>
    <d v="2023-09-18T12:58:07"/>
    <s v="Wireless Mouse"/>
    <n v="4"/>
    <n v="450"/>
    <s v="East"/>
    <x v="278"/>
    <n v="1800"/>
  </r>
  <r>
    <s v="Sep-2023"/>
    <d v="2023-09-19T00:39:23"/>
    <s v="Mobile Cover"/>
    <n v="6"/>
    <n v="450"/>
    <s v="East"/>
    <x v="244"/>
    <n v="2700"/>
  </r>
  <r>
    <s v="Sep-2023"/>
    <d v="2023-09-19T12:20:39"/>
    <s v="Mobile Cover"/>
    <n v="4"/>
    <n v="1200"/>
    <s v="East"/>
    <x v="238"/>
    <n v="4800"/>
  </r>
  <r>
    <s v="Sep-2023"/>
    <d v="2023-09-20T00:01:55"/>
    <s v="Laptop Bag"/>
    <n v="4"/>
    <n v="3500"/>
    <s v="South"/>
    <x v="164"/>
    <n v="14000"/>
  </r>
  <r>
    <s v="Sep-2023"/>
    <d v="2023-09-20T11:43:11"/>
    <s v="Wireless Mouse"/>
    <n v="2"/>
    <n v="150"/>
    <s v="East"/>
    <x v="112"/>
    <n v="300"/>
  </r>
  <r>
    <s v="Sep-2023"/>
    <d v="2023-09-20T23:24:27"/>
    <s v="Keyboard"/>
    <n v="1"/>
    <n v="1200"/>
    <s v="East"/>
    <x v="330"/>
    <n v="1200"/>
  </r>
  <r>
    <s v="Sep-2023"/>
    <d v="2023-09-21T11:05:43"/>
    <s v="Headphones"/>
    <n v="3"/>
    <n v="450"/>
    <s v="South"/>
    <x v="139"/>
    <n v="1350"/>
  </r>
  <r>
    <s v="Sep-2023"/>
    <d v="2023-09-21T22:46:59"/>
    <s v="Headphones"/>
    <n v="1"/>
    <n v="1800"/>
    <s v="East"/>
    <x v="331"/>
    <n v="1800"/>
  </r>
  <r>
    <s v="Sep-2023"/>
    <d v="2023-09-22T10:28:16"/>
    <s v="Keyboard"/>
    <n v="4"/>
    <n v="700"/>
    <s v="South"/>
    <x v="332"/>
    <n v="2800"/>
  </r>
  <r>
    <s v="Sep-2023"/>
    <d v="2023-09-22T22:09:32"/>
    <s v="Smart Watch"/>
    <n v="2"/>
    <n v="1200"/>
    <s v="West"/>
    <x v="47"/>
    <n v="2400"/>
  </r>
  <r>
    <s v="Sep-2023"/>
    <d v="2023-09-23T09:50:48"/>
    <s v="Laptop Bag"/>
    <n v="5"/>
    <n v="1200"/>
    <s v="West"/>
    <x v="202"/>
    <n v="6000"/>
  </r>
  <r>
    <s v="Sep-2023"/>
    <d v="2023-09-23T21:32:04"/>
    <s v="Headphones"/>
    <n v="2"/>
    <n v="150"/>
    <s v="West"/>
    <x v="333"/>
    <n v="300"/>
  </r>
  <r>
    <s v="Sep-2023"/>
    <d v="2023-09-24T09:13:20"/>
    <s v="Wireless Mouse"/>
    <n v="4"/>
    <n v="150"/>
    <s v="East"/>
    <x v="314"/>
    <n v="600"/>
  </r>
  <r>
    <s v="Sep-2023"/>
    <d v="2023-09-24T20:54:36"/>
    <s v="Laptop Bag"/>
    <n v="2"/>
    <n v="1200"/>
    <s v="North"/>
    <x v="320"/>
    <n v="2400"/>
  </r>
  <r>
    <s v="Sep-2023"/>
    <d v="2023-09-25T08:35:52"/>
    <s v="Wireless Mouse"/>
    <n v="2"/>
    <n v="450"/>
    <s v="North"/>
    <x v="89"/>
    <n v="900"/>
  </r>
  <r>
    <s v="Sep-2023"/>
    <d v="2023-09-25T20:17:08"/>
    <s v="Mobile Cover"/>
    <n v="4"/>
    <n v="700"/>
    <s v="East"/>
    <x v="334"/>
    <n v="2800"/>
  </r>
  <r>
    <s v="Sep-2023"/>
    <d v="2023-09-26T07:58:24"/>
    <s v="Laptop Bag"/>
    <n v="6"/>
    <n v="150"/>
    <s v="North"/>
    <x v="273"/>
    <n v="900"/>
  </r>
  <r>
    <s v="Sep-2023"/>
    <d v="2023-09-26T19:39:40"/>
    <s v="Headphones"/>
    <n v="2"/>
    <n v="450"/>
    <s v="South"/>
    <x v="257"/>
    <n v="900"/>
  </r>
  <r>
    <s v="Sep-2023"/>
    <d v="2023-09-27T07:20:56"/>
    <s v="Laptop Bag"/>
    <n v="3"/>
    <n v="1800"/>
    <s v="North"/>
    <x v="335"/>
    <n v="5400"/>
  </r>
  <r>
    <s v="Sep-2023"/>
    <d v="2023-09-27T19:02:12"/>
    <s v="Laptop Bag"/>
    <n v="3"/>
    <n v="150"/>
    <s v="East"/>
    <x v="303"/>
    <n v="450"/>
  </r>
  <r>
    <s v="Sep-2023"/>
    <d v="2023-09-28T06:43:28"/>
    <s v="Laptop Bag"/>
    <n v="2"/>
    <n v="450"/>
    <s v="East"/>
    <x v="336"/>
    <n v="900"/>
  </r>
  <r>
    <s v="Sep-2023"/>
    <d v="2023-09-28T18:24:44"/>
    <s v="Smart Watch"/>
    <n v="6"/>
    <n v="450"/>
    <s v="South"/>
    <x v="337"/>
    <n v="2700"/>
  </r>
  <r>
    <s v="Sep-2023"/>
    <d v="2023-09-29T06:06:00"/>
    <s v="Laptop Bag"/>
    <n v="5"/>
    <n v="700"/>
    <s v="West"/>
    <x v="117"/>
    <n v="3500"/>
  </r>
  <r>
    <s v="Sep-2023"/>
    <d v="2023-09-29T17:47:16"/>
    <s v="Wireless Mouse"/>
    <n v="4"/>
    <n v="700"/>
    <s v="East"/>
    <x v="332"/>
    <n v="2800"/>
  </r>
  <r>
    <s v="Sep-2023"/>
    <d v="2023-09-30T05:28:32"/>
    <s v="Mobile Cover"/>
    <n v="3"/>
    <n v="1800"/>
    <s v="South"/>
    <x v="338"/>
    <n v="5400"/>
  </r>
  <r>
    <s v="Sep-2023"/>
    <d v="2023-09-30T17:09:48"/>
    <s v="Keyboard"/>
    <n v="5"/>
    <n v="450"/>
    <s v="North"/>
    <x v="288"/>
    <n v="2250"/>
  </r>
  <r>
    <s v="Oct-2023"/>
    <d v="2023-10-01T04:51:04"/>
    <s v="Laptop Bag"/>
    <n v="2"/>
    <n v="3500"/>
    <s v="North"/>
    <x v="339"/>
    <n v="7000"/>
  </r>
  <r>
    <s v="Oct-2023"/>
    <d v="2023-10-01T16:32:20"/>
    <s v="Headphones"/>
    <n v="5"/>
    <n v="450"/>
    <s v="South"/>
    <x v="340"/>
    <n v="2250"/>
  </r>
  <r>
    <s v="Oct-2023"/>
    <d v="2023-10-02T04:13:37"/>
    <s v="Laptop Bag"/>
    <n v="1"/>
    <n v="700"/>
    <s v="South"/>
    <x v="217"/>
    <n v="700"/>
  </r>
  <r>
    <s v="Oct-2023"/>
    <d v="2023-10-02T15:54:53"/>
    <s v="Headphones"/>
    <n v="3"/>
    <n v="3500"/>
    <s v="East"/>
    <x v="341"/>
    <n v="10500"/>
  </r>
  <r>
    <s v="Oct-2023"/>
    <d v="2023-10-03T03:36:09"/>
    <s v="Wireless Mouse"/>
    <n v="2"/>
    <n v="150"/>
    <s v="North"/>
    <x v="342"/>
    <n v="300"/>
  </r>
  <r>
    <s v="Oct-2023"/>
    <d v="2023-10-03T15:17:25"/>
    <s v="Headphones"/>
    <n v="4"/>
    <n v="150"/>
    <s v="South"/>
    <x v="343"/>
    <n v="600"/>
  </r>
  <r>
    <s v="Oct-2023"/>
    <d v="2023-10-04T02:58:41"/>
    <s v="Keyboard"/>
    <n v="6"/>
    <n v="1200"/>
    <s v="North"/>
    <x v="310"/>
    <n v="7200"/>
  </r>
  <r>
    <s v="Oct-2023"/>
    <d v="2023-10-04T14:39:57"/>
    <s v="Mobile Cover"/>
    <n v="2"/>
    <n v="700"/>
    <s v="South"/>
    <x v="197"/>
    <n v="1400"/>
  </r>
  <r>
    <s v="Oct-2023"/>
    <d v="2023-10-05T02:21:13"/>
    <s v="Headphones"/>
    <n v="4"/>
    <n v="1200"/>
    <s v="North"/>
    <x v="251"/>
    <n v="4800"/>
  </r>
  <r>
    <s v="Oct-2023"/>
    <d v="2023-10-05T14:02:29"/>
    <s v="Headphones"/>
    <n v="6"/>
    <n v="3500"/>
    <s v="West"/>
    <x v="140"/>
    <n v="21000"/>
  </r>
  <r>
    <s v="Oct-2023"/>
    <d v="2023-10-06T01:43:45"/>
    <s v="Mobile Cover"/>
    <n v="6"/>
    <n v="700"/>
    <s v="East"/>
    <x v="344"/>
    <n v="4200"/>
  </r>
  <r>
    <s v="Oct-2023"/>
    <d v="2023-10-06T13:25:01"/>
    <s v="Keyboard"/>
    <n v="2"/>
    <n v="1800"/>
    <s v="North"/>
    <x v="130"/>
    <n v="3600"/>
  </r>
  <r>
    <s v="Oct-2023"/>
    <d v="2023-10-07T01:06:17"/>
    <s v="Laptop Bag"/>
    <n v="5"/>
    <n v="450"/>
    <s v="West"/>
    <x v="235"/>
    <n v="2250"/>
  </r>
  <r>
    <s v="Oct-2023"/>
    <d v="2023-10-07T12:47:33"/>
    <s v="Headphones"/>
    <n v="5"/>
    <n v="1800"/>
    <s v="North"/>
    <x v="334"/>
    <n v="9000"/>
  </r>
  <r>
    <s v="Oct-2023"/>
    <d v="2023-10-08T00:28:49"/>
    <s v="Mobile Cover"/>
    <n v="6"/>
    <n v="3500"/>
    <s v="North"/>
    <x v="59"/>
    <n v="21000"/>
  </r>
  <r>
    <s v="Oct-2023"/>
    <d v="2023-10-08T12:10:05"/>
    <s v="Wireless Mouse"/>
    <n v="5"/>
    <n v="700"/>
    <s v="West"/>
    <x v="345"/>
    <n v="3500"/>
  </r>
  <r>
    <s v="Oct-2023"/>
    <d v="2023-10-08T23:51:21"/>
    <s v="Mobile Cover"/>
    <n v="1"/>
    <n v="3500"/>
    <s v="North"/>
    <x v="169"/>
    <n v="3500"/>
  </r>
  <r>
    <s v="Oct-2023"/>
    <d v="2023-10-09T11:32:37"/>
    <s v="Wireless Mouse"/>
    <n v="6"/>
    <n v="450"/>
    <s v="North"/>
    <x v="346"/>
    <n v="2700"/>
  </r>
  <r>
    <s v="Oct-2023"/>
    <d v="2023-10-09T23:13:53"/>
    <s v="Keyboard"/>
    <n v="6"/>
    <n v="150"/>
    <s v="East"/>
    <x v="347"/>
    <n v="900"/>
  </r>
  <r>
    <s v="Oct-2023"/>
    <d v="2023-10-10T10:55:09"/>
    <s v="Laptop Bag"/>
    <n v="4"/>
    <n v="150"/>
    <s v="West"/>
    <x v="348"/>
    <n v="600"/>
  </r>
  <r>
    <s v="Oct-2023"/>
    <d v="2023-10-10T22:36:25"/>
    <s v="Mobile Cover"/>
    <n v="5"/>
    <n v="3500"/>
    <s v="West"/>
    <x v="247"/>
    <n v="17500"/>
  </r>
  <r>
    <s v="Oct-2023"/>
    <d v="2023-10-11T10:17:42"/>
    <s v="Smart Watch"/>
    <n v="6"/>
    <n v="1200"/>
    <s v="South"/>
    <x v="344"/>
    <n v="7200"/>
  </r>
  <r>
    <s v="Oct-2023"/>
    <d v="2023-10-11T21:58:58"/>
    <s v="Headphones"/>
    <n v="1"/>
    <n v="700"/>
    <s v="North"/>
    <x v="161"/>
    <n v="700"/>
  </r>
  <r>
    <s v="Oct-2023"/>
    <d v="2023-10-12T09:40:14"/>
    <s v="Keyboard"/>
    <n v="4"/>
    <n v="700"/>
    <s v="East"/>
    <x v="112"/>
    <n v="2800"/>
  </r>
  <r>
    <s v="Oct-2023"/>
    <d v="2023-10-12T21:21:30"/>
    <s v="Mobile Cover"/>
    <n v="2"/>
    <n v="150"/>
    <s v="North"/>
    <x v="89"/>
    <n v="300"/>
  </r>
  <r>
    <s v="Oct-2023"/>
    <d v="2023-10-13T09:02:46"/>
    <s v="Headphones"/>
    <n v="6"/>
    <n v="1800"/>
    <s v="North"/>
    <x v="24"/>
    <n v="10800"/>
  </r>
  <r>
    <s v="Oct-2023"/>
    <d v="2023-10-13T20:44:02"/>
    <s v="Mobile Cover"/>
    <n v="1"/>
    <n v="450"/>
    <s v="South"/>
    <x v="349"/>
    <n v="450"/>
  </r>
  <r>
    <s v="Oct-2023"/>
    <d v="2023-10-14T08:25:18"/>
    <s v="Wireless Mouse"/>
    <n v="3"/>
    <n v="1800"/>
    <s v="North"/>
    <x v="281"/>
    <n v="5400"/>
  </r>
  <r>
    <s v="Oct-2023"/>
    <d v="2023-10-14T20:06:34"/>
    <s v="Mobile Cover"/>
    <n v="1"/>
    <n v="1800"/>
    <s v="East"/>
    <x v="350"/>
    <n v="1800"/>
  </r>
  <r>
    <s v="Oct-2023"/>
    <d v="2023-10-15T07:47:50"/>
    <s v="Smart Watch"/>
    <n v="1"/>
    <n v="3500"/>
    <s v="East"/>
    <x v="351"/>
    <n v="3500"/>
  </r>
  <r>
    <s v="Oct-2023"/>
    <d v="2023-10-15T19:29:06"/>
    <s v="Mobile Cover"/>
    <n v="4"/>
    <n v="150"/>
    <s v="South"/>
    <x v="207"/>
    <n v="600"/>
  </r>
  <r>
    <s v="Oct-2023"/>
    <d v="2023-10-16T07:10:22"/>
    <s v="Mobile Cover"/>
    <n v="2"/>
    <n v="150"/>
    <s v="North"/>
    <x v="352"/>
    <n v="300"/>
  </r>
  <r>
    <s v="Oct-2023"/>
    <d v="2023-10-16T18:51:38"/>
    <s v="Smart Watch"/>
    <n v="3"/>
    <n v="150"/>
    <s v="East"/>
    <x v="95"/>
    <n v="450"/>
  </r>
  <r>
    <s v="Oct-2023"/>
    <d v="2023-10-17T06:32:54"/>
    <s v="Keyboard"/>
    <n v="5"/>
    <n v="3500"/>
    <s v="North"/>
    <x v="79"/>
    <n v="17500"/>
  </r>
  <r>
    <s v="Oct-2023"/>
    <d v="2023-10-17T18:14:10"/>
    <s v="Mobile Cover"/>
    <n v="5"/>
    <n v="1200"/>
    <s v="North"/>
    <x v="177"/>
    <n v="6000"/>
  </r>
  <r>
    <s v="Oct-2023"/>
    <d v="2023-10-18T05:55:26"/>
    <s v="Smart Watch"/>
    <n v="1"/>
    <n v="1800"/>
    <s v="North"/>
    <x v="159"/>
    <n v="1800"/>
  </r>
  <r>
    <s v="Oct-2023"/>
    <d v="2023-10-18T17:36:42"/>
    <s v="Headphones"/>
    <n v="4"/>
    <n v="3500"/>
    <s v="South"/>
    <x v="313"/>
    <n v="14000"/>
  </r>
  <r>
    <s v="Oct-2023"/>
    <d v="2023-10-19T05:17:58"/>
    <s v="Wireless Mouse"/>
    <n v="4"/>
    <n v="700"/>
    <s v="North"/>
    <x v="338"/>
    <n v="2800"/>
  </r>
  <r>
    <s v="Oct-2023"/>
    <d v="2023-10-19T16:59:14"/>
    <s v="Wireless Mouse"/>
    <n v="5"/>
    <n v="450"/>
    <s v="East"/>
    <x v="353"/>
    <n v="2250"/>
  </r>
  <r>
    <s v="Oct-2023"/>
    <d v="2023-10-20T04:40:30"/>
    <s v="Mobile Cover"/>
    <n v="3"/>
    <n v="1200"/>
    <s v="North"/>
    <x v="216"/>
    <n v="3600"/>
  </r>
  <r>
    <s v="Oct-2023"/>
    <d v="2023-10-20T16:21:46"/>
    <s v="Keyboard"/>
    <n v="2"/>
    <n v="700"/>
    <s v="East"/>
    <x v="19"/>
    <n v="1400"/>
  </r>
  <r>
    <s v="Oct-2023"/>
    <d v="2023-10-21T04:03:03"/>
    <s v="Keyboard"/>
    <n v="3"/>
    <n v="1800"/>
    <s v="North"/>
    <x v="214"/>
    <n v="5400"/>
  </r>
  <r>
    <s v="Oct-2023"/>
    <d v="2023-10-21T15:44:19"/>
    <s v="Headphones"/>
    <n v="6"/>
    <n v="150"/>
    <s v="East"/>
    <x v="354"/>
    <n v="900"/>
  </r>
  <r>
    <s v="Oct-2023"/>
    <d v="2023-10-22T03:25:35"/>
    <s v="Mobile Cover"/>
    <n v="6"/>
    <n v="1800"/>
    <s v="East"/>
    <x v="46"/>
    <n v="10800"/>
  </r>
  <r>
    <s v="Oct-2023"/>
    <d v="2023-10-22T15:06:51"/>
    <s v="Wireless Mouse"/>
    <n v="2"/>
    <n v="3500"/>
    <s v="North"/>
    <x v="40"/>
    <n v="7000"/>
  </r>
  <r>
    <s v="Oct-2023"/>
    <d v="2023-10-23T02:48:07"/>
    <s v="Keyboard"/>
    <n v="5"/>
    <n v="450"/>
    <s v="North"/>
    <x v="355"/>
    <n v="2250"/>
  </r>
  <r>
    <s v="Oct-2023"/>
    <d v="2023-10-23T14:29:23"/>
    <s v="Mobile Cover"/>
    <n v="2"/>
    <n v="3500"/>
    <s v="East"/>
    <x v="356"/>
    <n v="7000"/>
  </r>
  <r>
    <s v="Oct-2023"/>
    <d v="2023-10-24T02:10:39"/>
    <s v="Keyboard"/>
    <n v="4"/>
    <n v="1200"/>
    <s v="West"/>
    <x v="357"/>
    <n v="4800"/>
  </r>
  <r>
    <s v="Oct-2023"/>
    <d v="2023-10-24T13:51:55"/>
    <s v="Smart Watch"/>
    <n v="6"/>
    <n v="1200"/>
    <s v="South"/>
    <x v="336"/>
    <n v="7200"/>
  </r>
  <r>
    <s v="Oct-2023"/>
    <d v="2023-10-25T01:33:11"/>
    <s v="Keyboard"/>
    <n v="1"/>
    <n v="450"/>
    <s v="West"/>
    <x v="151"/>
    <n v="450"/>
  </r>
  <r>
    <s v="Oct-2023"/>
    <d v="2023-10-25T13:14:27"/>
    <s v="Wireless Mouse"/>
    <n v="1"/>
    <n v="700"/>
    <s v="West"/>
    <x v="48"/>
    <n v="700"/>
  </r>
  <r>
    <s v="Oct-2023"/>
    <d v="2023-10-26T00:55:43"/>
    <s v="Laptop Bag"/>
    <n v="5"/>
    <n v="700"/>
    <s v="North"/>
    <x v="223"/>
    <n v="3500"/>
  </r>
  <r>
    <s v="Oct-2023"/>
    <d v="2023-10-26T12:36:59"/>
    <s v="Headphones"/>
    <n v="4"/>
    <n v="1200"/>
    <s v="South"/>
    <x v="358"/>
    <n v="4800"/>
  </r>
  <r>
    <s v="Oct-2023"/>
    <d v="2023-10-27T00:18:15"/>
    <s v="Headphones"/>
    <n v="3"/>
    <n v="1200"/>
    <s v="West"/>
    <x v="359"/>
    <n v="3600"/>
  </r>
  <r>
    <s v="Oct-2023"/>
    <d v="2023-10-27T11:59:31"/>
    <s v="Wireless Mouse"/>
    <n v="4"/>
    <n v="150"/>
    <s v="North"/>
    <x v="32"/>
    <n v="600"/>
  </r>
  <r>
    <s v="Oct-2023"/>
    <d v="2023-10-27T23:40:47"/>
    <s v="Keyboard"/>
    <n v="1"/>
    <n v="700"/>
    <s v="West"/>
    <x v="360"/>
    <n v="700"/>
  </r>
  <r>
    <s v="Oct-2023"/>
    <d v="2023-10-28T11:22:03"/>
    <s v="Mobile Cover"/>
    <n v="1"/>
    <n v="450"/>
    <s v="West"/>
    <x v="306"/>
    <n v="450"/>
  </r>
  <r>
    <s v="Oct-2023"/>
    <d v="2023-10-28T23:03:19"/>
    <s v="Keyboard"/>
    <n v="6"/>
    <n v="700"/>
    <s v="North"/>
    <x v="23"/>
    <n v="4200"/>
  </r>
  <r>
    <s v="Oct-2023"/>
    <d v="2023-10-29T10:44:35"/>
    <s v="Wireless Mouse"/>
    <n v="4"/>
    <n v="150"/>
    <s v="North"/>
    <x v="257"/>
    <n v="600"/>
  </r>
  <r>
    <s v="Oct-2023"/>
    <d v="2023-10-29T22:25:51"/>
    <s v="Headphones"/>
    <n v="4"/>
    <n v="3500"/>
    <s v="North"/>
    <x v="361"/>
    <n v="14000"/>
  </r>
  <r>
    <s v="Oct-2023"/>
    <d v="2023-10-30T10:07:07"/>
    <s v="Keyboard"/>
    <n v="1"/>
    <n v="1200"/>
    <s v="South"/>
    <x v="362"/>
    <n v="1200"/>
  </r>
  <r>
    <s v="Oct-2023"/>
    <d v="2023-10-30T21:48:24"/>
    <s v="Headphones"/>
    <n v="3"/>
    <n v="1200"/>
    <s v="West"/>
    <x v="363"/>
    <n v="3600"/>
  </r>
  <r>
    <s v="Oct-2023"/>
    <d v="2023-10-31T09:29:40"/>
    <s v="Mobile Cover"/>
    <n v="5"/>
    <n v="150"/>
    <s v="North"/>
    <x v="364"/>
    <n v="750"/>
  </r>
  <r>
    <s v="Oct-2023"/>
    <d v="2023-10-31T21:10:56"/>
    <s v="Headphones"/>
    <n v="5"/>
    <n v="450"/>
    <s v="East"/>
    <x v="37"/>
    <n v="2250"/>
  </r>
  <r>
    <s v="Nov-2023"/>
    <d v="2023-11-01T08:52:12"/>
    <s v="Headphones"/>
    <n v="4"/>
    <n v="1200"/>
    <s v="West"/>
    <x v="365"/>
    <n v="4800"/>
  </r>
  <r>
    <s v="Nov-2023"/>
    <d v="2023-11-01T20:33:28"/>
    <s v="Laptop Bag"/>
    <n v="5"/>
    <n v="1800"/>
    <s v="East"/>
    <x v="232"/>
    <n v="9000"/>
  </r>
  <r>
    <s v="Nov-2023"/>
    <d v="2023-11-02T08:14:44"/>
    <s v="Laptop Bag"/>
    <n v="1"/>
    <n v="1200"/>
    <s v="South"/>
    <x v="201"/>
    <n v="1200"/>
  </r>
  <r>
    <s v="Nov-2023"/>
    <d v="2023-11-02T19:56:00"/>
    <s v="Smart Watch"/>
    <n v="1"/>
    <n v="1800"/>
    <s v="North"/>
    <x v="53"/>
    <n v="1800"/>
  </r>
  <r>
    <s v="Nov-2023"/>
    <d v="2023-11-03T07:37:16"/>
    <s v="Laptop Bag"/>
    <n v="4"/>
    <n v="150"/>
    <s v="East"/>
    <x v="313"/>
    <n v="600"/>
  </r>
  <r>
    <s v="Nov-2023"/>
    <d v="2023-11-03T19:18:32"/>
    <s v="Headphones"/>
    <n v="4"/>
    <n v="150"/>
    <s v="South"/>
    <x v="366"/>
    <n v="600"/>
  </r>
  <r>
    <s v="Nov-2023"/>
    <d v="2023-11-04T06:59:48"/>
    <s v="Wireless Mouse"/>
    <n v="6"/>
    <n v="1200"/>
    <s v="North"/>
    <x v="367"/>
    <n v="7200"/>
  </r>
  <r>
    <s v="Nov-2023"/>
    <d v="2023-11-04T18:41:04"/>
    <s v="Headphones"/>
    <n v="4"/>
    <n v="700"/>
    <s v="East"/>
    <x v="182"/>
    <n v="2800"/>
  </r>
  <r>
    <s v="Nov-2023"/>
    <d v="2023-11-05T06:22:20"/>
    <s v="Wireless Mouse"/>
    <n v="3"/>
    <n v="1800"/>
    <s v="East"/>
    <x v="368"/>
    <n v="5400"/>
  </r>
  <r>
    <s v="Nov-2023"/>
    <d v="2023-11-05T18:03:36"/>
    <s v="Wireless Mouse"/>
    <n v="5"/>
    <n v="450"/>
    <s v="South"/>
    <x v="361"/>
    <n v="2250"/>
  </r>
  <r>
    <s v="Nov-2023"/>
    <d v="2023-11-06T05:44:52"/>
    <s v="Laptop Bag"/>
    <n v="4"/>
    <n v="1200"/>
    <s v="North"/>
    <x v="55"/>
    <n v="4800"/>
  </r>
  <r>
    <s v="Nov-2023"/>
    <d v="2023-11-06T17:26:08"/>
    <s v="Keyboard"/>
    <n v="2"/>
    <n v="450"/>
    <s v="North"/>
    <x v="216"/>
    <n v="900"/>
  </r>
  <r>
    <s v="Nov-2023"/>
    <d v="2023-11-07T05:07:24"/>
    <s v="Mobile Cover"/>
    <n v="6"/>
    <n v="1200"/>
    <s v="East"/>
    <x v="369"/>
    <n v="7200"/>
  </r>
  <r>
    <s v="Nov-2023"/>
    <d v="2023-11-07T16:48:40"/>
    <s v="Laptop Bag"/>
    <n v="2"/>
    <n v="700"/>
    <s v="East"/>
    <x v="224"/>
    <n v="1400"/>
  </r>
  <r>
    <s v="Nov-2023"/>
    <d v="2023-11-08T04:29:56"/>
    <s v="Laptop Bag"/>
    <n v="1"/>
    <n v="700"/>
    <s v="East"/>
    <x v="84"/>
    <n v="700"/>
  </r>
  <r>
    <s v="Nov-2023"/>
    <d v="2023-11-08T16:11:12"/>
    <s v="Keyboard"/>
    <n v="5"/>
    <n v="700"/>
    <s v="North"/>
    <x v="110"/>
    <n v="3500"/>
  </r>
  <r>
    <s v="Nov-2023"/>
    <d v="2023-11-09T03:52:28"/>
    <s v="Mobile Cover"/>
    <n v="4"/>
    <n v="3500"/>
    <s v="South"/>
    <x v="316"/>
    <n v="14000"/>
  </r>
  <r>
    <s v="Nov-2023"/>
    <d v="2023-11-09T15:33:45"/>
    <s v="Headphones"/>
    <n v="2"/>
    <n v="700"/>
    <s v="South"/>
    <x v="227"/>
    <n v="1400"/>
  </r>
  <r>
    <s v="Nov-2023"/>
    <d v="2023-11-10T03:15:01"/>
    <s v="Smart Watch"/>
    <n v="5"/>
    <n v="150"/>
    <s v="North"/>
    <x v="277"/>
    <n v="750"/>
  </r>
  <r>
    <s v="Nov-2023"/>
    <d v="2023-11-10T14:56:17"/>
    <s v="Smart Watch"/>
    <n v="1"/>
    <n v="150"/>
    <s v="West"/>
    <x v="16"/>
    <n v="150"/>
  </r>
  <r>
    <s v="Nov-2023"/>
    <d v="2023-11-11T02:37:33"/>
    <s v="Headphones"/>
    <n v="3"/>
    <n v="3500"/>
    <s v="South"/>
    <x v="167"/>
    <n v="10500"/>
  </r>
  <r>
    <s v="Nov-2023"/>
    <d v="2023-11-11T14:18:49"/>
    <s v="Laptop Bag"/>
    <n v="6"/>
    <n v="1800"/>
    <s v="East"/>
    <x v="226"/>
    <n v="10800"/>
  </r>
  <r>
    <s v="Nov-2023"/>
    <d v="2023-11-12T02:00:05"/>
    <s v="Mobile Cover"/>
    <n v="5"/>
    <n v="450"/>
    <s v="West"/>
    <x v="312"/>
    <n v="2250"/>
  </r>
  <r>
    <s v="Nov-2023"/>
    <d v="2023-11-12T13:41:21"/>
    <s v="Laptop Bag"/>
    <n v="5"/>
    <n v="1200"/>
    <s v="West"/>
    <x v="370"/>
    <n v="6000"/>
  </r>
  <r>
    <s v="Nov-2023"/>
    <d v="2023-11-13T01:22:37"/>
    <s v="Wireless Mouse"/>
    <n v="3"/>
    <n v="1200"/>
    <s v="South"/>
    <x v="91"/>
    <n v="3600"/>
  </r>
  <r>
    <s v="Nov-2023"/>
    <d v="2023-11-13T13:03:53"/>
    <s v="Laptop Bag"/>
    <n v="5"/>
    <n v="3500"/>
    <s v="West"/>
    <x v="134"/>
    <n v="17500"/>
  </r>
  <r>
    <s v="Nov-2023"/>
    <d v="2023-11-14T00:45:09"/>
    <s v="Laptop Bag"/>
    <n v="1"/>
    <n v="150"/>
    <s v="West"/>
    <x v="183"/>
    <n v="150"/>
  </r>
  <r>
    <s v="Nov-2023"/>
    <d v="2023-11-14T12:26:25"/>
    <s v="Headphones"/>
    <n v="1"/>
    <n v="1200"/>
    <s v="South"/>
    <x v="182"/>
    <n v="1200"/>
  </r>
  <r>
    <s v="Nov-2023"/>
    <d v="2023-11-15T00:07:41"/>
    <s v="Headphones"/>
    <n v="3"/>
    <n v="150"/>
    <s v="South"/>
    <x v="371"/>
    <n v="450"/>
  </r>
  <r>
    <s v="Nov-2023"/>
    <d v="2023-11-15T11:48:57"/>
    <s v="Headphones"/>
    <n v="6"/>
    <n v="1800"/>
    <s v="West"/>
    <x v="372"/>
    <n v="10800"/>
  </r>
  <r>
    <s v="Nov-2023"/>
    <d v="2023-11-15T23:30:13"/>
    <s v="Smart Watch"/>
    <n v="4"/>
    <n v="450"/>
    <s v="East"/>
    <x v="69"/>
    <n v="1800"/>
  </r>
  <r>
    <s v="Nov-2023"/>
    <d v="2023-11-16T11:11:29"/>
    <s v="Wireless Mouse"/>
    <n v="2"/>
    <n v="1800"/>
    <s v="North"/>
    <x v="373"/>
    <n v="3600"/>
  </r>
  <r>
    <s v="Nov-2023"/>
    <d v="2023-11-16T22:52:45"/>
    <s v="Headphones"/>
    <n v="4"/>
    <n v="3500"/>
    <s v="West"/>
    <x v="28"/>
    <n v="14000"/>
  </r>
  <r>
    <s v="Nov-2023"/>
    <d v="2023-11-17T10:34:01"/>
    <s v="Mobile Cover"/>
    <n v="5"/>
    <n v="700"/>
    <s v="West"/>
    <x v="366"/>
    <n v="3500"/>
  </r>
  <r>
    <s v="Nov-2023"/>
    <d v="2023-11-17T22:15:17"/>
    <s v="Smart Watch"/>
    <n v="2"/>
    <n v="700"/>
    <s v="East"/>
    <x v="255"/>
    <n v="1400"/>
  </r>
  <r>
    <s v="Nov-2023"/>
    <d v="2023-11-18T09:56:33"/>
    <s v="Keyboard"/>
    <n v="3"/>
    <n v="700"/>
    <s v="West"/>
    <x v="213"/>
    <n v="2100"/>
  </r>
  <r>
    <s v="Nov-2023"/>
    <d v="2023-11-18T21:37:50"/>
    <s v="Mobile Cover"/>
    <n v="3"/>
    <n v="1800"/>
    <s v="West"/>
    <x v="374"/>
    <n v="5400"/>
  </r>
  <r>
    <s v="Nov-2023"/>
    <d v="2023-11-19T09:19:06"/>
    <s v="Mobile Cover"/>
    <n v="6"/>
    <n v="1200"/>
    <s v="North"/>
    <x v="24"/>
    <n v="7200"/>
  </r>
  <r>
    <s v="Nov-2023"/>
    <d v="2023-11-19T21:00:22"/>
    <s v="Headphones"/>
    <n v="2"/>
    <n v="450"/>
    <s v="North"/>
    <x v="375"/>
    <n v="900"/>
  </r>
  <r>
    <s v="Nov-2023"/>
    <d v="2023-11-20T08:41:38"/>
    <s v="Keyboard"/>
    <n v="1"/>
    <n v="700"/>
    <s v="North"/>
    <x v="376"/>
    <n v="700"/>
  </r>
  <r>
    <s v="Nov-2023"/>
    <d v="2023-11-20T20:22:54"/>
    <s v="Keyboard"/>
    <n v="2"/>
    <n v="3500"/>
    <s v="South"/>
    <x v="361"/>
    <n v="7000"/>
  </r>
  <r>
    <s v="Nov-2023"/>
    <d v="2023-11-21T08:04:10"/>
    <s v="Smart Watch"/>
    <n v="5"/>
    <n v="3500"/>
    <s v="South"/>
    <x v="160"/>
    <n v="17500"/>
  </r>
  <r>
    <s v="Nov-2023"/>
    <d v="2023-11-21T19:45:26"/>
    <s v="Keyboard"/>
    <n v="1"/>
    <n v="700"/>
    <s v="North"/>
    <x v="279"/>
    <n v="700"/>
  </r>
  <r>
    <s v="Nov-2023"/>
    <d v="2023-11-22T07:26:42"/>
    <s v="Wireless Mouse"/>
    <n v="3"/>
    <n v="700"/>
    <s v="North"/>
    <x v="300"/>
    <n v="2100"/>
  </r>
  <r>
    <s v="Nov-2023"/>
    <d v="2023-11-22T19:07:58"/>
    <s v="Headphones"/>
    <n v="2"/>
    <n v="450"/>
    <s v="South"/>
    <x v="377"/>
    <n v="900"/>
  </r>
  <r>
    <s v="Nov-2023"/>
    <d v="2023-11-23T06:49:14"/>
    <s v="Keyboard"/>
    <n v="4"/>
    <n v="700"/>
    <s v="East"/>
    <x v="378"/>
    <n v="2800"/>
  </r>
  <r>
    <s v="Nov-2023"/>
    <d v="2023-11-23T18:30:30"/>
    <s v="Smart Watch"/>
    <n v="6"/>
    <n v="450"/>
    <s v="West"/>
    <x v="154"/>
    <n v="2700"/>
  </r>
  <r>
    <s v="Nov-2023"/>
    <d v="2023-11-24T06:11:46"/>
    <s v="Wireless Mouse"/>
    <n v="4"/>
    <n v="3500"/>
    <s v="West"/>
    <x v="285"/>
    <n v="14000"/>
  </r>
  <r>
    <s v="Nov-2023"/>
    <d v="2023-11-24T17:53:02"/>
    <s v="Laptop Bag"/>
    <n v="6"/>
    <n v="700"/>
    <s v="North"/>
    <x v="103"/>
    <n v="4200"/>
  </r>
  <r>
    <s v="Nov-2023"/>
    <d v="2023-11-25T05:34:18"/>
    <s v="Laptop Bag"/>
    <n v="5"/>
    <n v="1800"/>
    <s v="East"/>
    <x v="55"/>
    <n v="9000"/>
  </r>
  <r>
    <s v="Nov-2023"/>
    <d v="2023-11-25T17:15:34"/>
    <s v="Wireless Mouse"/>
    <n v="4"/>
    <n v="1800"/>
    <s v="South"/>
    <x v="257"/>
    <n v="7200"/>
  </r>
  <r>
    <s v="Nov-2023"/>
    <d v="2023-11-26T04:56:50"/>
    <s v="Smart Watch"/>
    <n v="2"/>
    <n v="3500"/>
    <s v="North"/>
    <x v="379"/>
    <n v="7000"/>
  </r>
  <r>
    <s v="Nov-2023"/>
    <d v="2023-11-26T16:38:06"/>
    <s v="Wireless Mouse"/>
    <n v="2"/>
    <n v="450"/>
    <s v="East"/>
    <x v="341"/>
    <n v="900"/>
  </r>
  <r>
    <s v="Nov-2023"/>
    <d v="2023-11-27T04:19:22"/>
    <s v="Headphones"/>
    <n v="4"/>
    <n v="1800"/>
    <s v="East"/>
    <x v="257"/>
    <n v="7200"/>
  </r>
  <r>
    <s v="Nov-2023"/>
    <d v="2023-11-27T16:00:38"/>
    <s v="Headphones"/>
    <n v="2"/>
    <n v="450"/>
    <s v="East"/>
    <x v="230"/>
    <n v="900"/>
  </r>
  <r>
    <s v="Nov-2023"/>
    <d v="2023-11-28T03:41:54"/>
    <s v="Laptop Bag"/>
    <n v="5"/>
    <n v="1800"/>
    <s v="South"/>
    <x v="380"/>
    <n v="9000"/>
  </r>
  <r>
    <s v="Nov-2023"/>
    <d v="2023-11-28T15:23:11"/>
    <s v="Keyboard"/>
    <n v="1"/>
    <n v="1800"/>
    <s v="South"/>
    <x v="132"/>
    <n v="1800"/>
  </r>
  <r>
    <s v="Nov-2023"/>
    <d v="2023-11-29T03:04:27"/>
    <s v="Smart Watch"/>
    <n v="5"/>
    <n v="450"/>
    <s v="West"/>
    <x v="203"/>
    <n v="2250"/>
  </r>
  <r>
    <s v="Nov-2023"/>
    <d v="2023-11-29T14:45:43"/>
    <s v="Laptop Bag"/>
    <n v="6"/>
    <n v="1200"/>
    <s v="West"/>
    <x v="374"/>
    <n v="7200"/>
  </r>
  <r>
    <s v="Nov-2023"/>
    <d v="2023-11-30T02:26:59"/>
    <s v="Keyboard"/>
    <n v="5"/>
    <n v="1800"/>
    <s v="East"/>
    <x v="300"/>
    <n v="9000"/>
  </r>
  <r>
    <s v="Nov-2023"/>
    <d v="2023-11-30T14:08:15"/>
    <s v="Keyboard"/>
    <n v="6"/>
    <n v="700"/>
    <s v="East"/>
    <x v="11"/>
    <n v="4200"/>
  </r>
  <r>
    <s v="Dec-2023"/>
    <d v="2023-12-01T01:49:31"/>
    <s v="Headphones"/>
    <n v="2"/>
    <n v="3500"/>
    <s v="South"/>
    <x v="375"/>
    <n v="7000"/>
  </r>
  <r>
    <s v="Dec-2023"/>
    <d v="2023-12-01T13:30:47"/>
    <s v="Mobile Cover"/>
    <n v="1"/>
    <n v="1200"/>
    <s v="West"/>
    <x v="231"/>
    <n v="1200"/>
  </r>
  <r>
    <s v="Dec-2023"/>
    <d v="2023-12-02T01:12:03"/>
    <s v="Mobile Cover"/>
    <n v="2"/>
    <n v="450"/>
    <s v="East"/>
    <x v="309"/>
    <n v="900"/>
  </r>
  <r>
    <s v="Dec-2023"/>
    <d v="2023-12-02T12:53:19"/>
    <s v="Wireless Mouse"/>
    <n v="3"/>
    <n v="1200"/>
    <s v="West"/>
    <x v="164"/>
    <n v="3600"/>
  </r>
  <r>
    <s v="Dec-2023"/>
    <d v="2023-12-03T00:34:35"/>
    <s v="Headphones"/>
    <n v="2"/>
    <n v="150"/>
    <s v="West"/>
    <x v="47"/>
    <n v="300"/>
  </r>
  <r>
    <s v="Dec-2023"/>
    <d v="2023-12-03T12:15:51"/>
    <s v="Keyboard"/>
    <n v="6"/>
    <n v="150"/>
    <s v="East"/>
    <x v="323"/>
    <n v="900"/>
  </r>
  <r>
    <s v="Dec-2023"/>
    <d v="2023-12-03T23:57:07"/>
    <s v="Smart Watch"/>
    <n v="2"/>
    <n v="1800"/>
    <s v="South"/>
    <x v="47"/>
    <n v="3600"/>
  </r>
  <r>
    <s v="Dec-2023"/>
    <d v="2023-12-04T11:38:23"/>
    <s v="Mobile Cover"/>
    <n v="2"/>
    <n v="1800"/>
    <s v="East"/>
    <x v="37"/>
    <n v="3600"/>
  </r>
  <r>
    <s v="Dec-2023"/>
    <d v="2023-12-04T23:19:39"/>
    <s v="Keyboard"/>
    <n v="1"/>
    <n v="700"/>
    <s v="East"/>
    <x v="49"/>
    <n v="700"/>
  </r>
  <r>
    <s v="Dec-2023"/>
    <d v="2023-12-05T11:00:55"/>
    <s v="Mobile Cover"/>
    <n v="2"/>
    <n v="3500"/>
    <s v="West"/>
    <x v="381"/>
    <n v="7000"/>
  </r>
  <r>
    <s v="Dec-2023"/>
    <d v="2023-12-05T22:42:11"/>
    <s v="Mobile Cover"/>
    <n v="1"/>
    <n v="1200"/>
    <s v="East"/>
    <x v="157"/>
    <n v="1200"/>
  </r>
  <r>
    <s v="Dec-2023"/>
    <d v="2023-12-06T10:23:27"/>
    <s v="Mobile Cover"/>
    <n v="4"/>
    <n v="150"/>
    <s v="South"/>
    <x v="236"/>
    <n v="600"/>
  </r>
  <r>
    <s v="Dec-2023"/>
    <d v="2023-12-06T22:04:43"/>
    <s v="Smart Watch"/>
    <n v="3"/>
    <n v="1800"/>
    <s v="East"/>
    <x v="188"/>
    <n v="5400"/>
  </r>
  <r>
    <s v="Dec-2023"/>
    <d v="2023-12-07T09:45:59"/>
    <s v="Headphones"/>
    <n v="1"/>
    <n v="3500"/>
    <s v="South"/>
    <x v="312"/>
    <n v="3500"/>
  </r>
  <r>
    <s v="Dec-2023"/>
    <d v="2023-12-07T21:27:15"/>
    <s v="Smart Watch"/>
    <n v="6"/>
    <n v="1200"/>
    <s v="South"/>
    <x v="341"/>
    <n v="7200"/>
  </r>
  <r>
    <s v="Dec-2023"/>
    <d v="2023-12-08T09:08:32"/>
    <s v="Laptop Bag"/>
    <n v="4"/>
    <n v="1800"/>
    <s v="West"/>
    <x v="277"/>
    <n v="7200"/>
  </r>
  <r>
    <s v="Dec-2023"/>
    <d v="2023-12-08T20:49:48"/>
    <s v="Keyboard"/>
    <n v="1"/>
    <n v="1800"/>
    <s v="North"/>
    <x v="157"/>
    <n v="1800"/>
  </r>
  <r>
    <s v="Dec-2023"/>
    <d v="2023-12-09T08:31:04"/>
    <s v="Headphones"/>
    <n v="1"/>
    <n v="150"/>
    <s v="North"/>
    <x v="130"/>
    <n v="150"/>
  </r>
  <r>
    <s v="Dec-2023"/>
    <d v="2023-12-09T20:12:20"/>
    <s v="Headphones"/>
    <n v="3"/>
    <n v="150"/>
    <s v="West"/>
    <x v="382"/>
    <n v="450"/>
  </r>
  <r>
    <s v="Dec-2023"/>
    <d v="2023-12-10T07:53:36"/>
    <s v="Headphones"/>
    <n v="6"/>
    <n v="1800"/>
    <s v="East"/>
    <x v="162"/>
    <n v="10800"/>
  </r>
  <r>
    <s v="Dec-2023"/>
    <d v="2023-12-10T19:34:52"/>
    <s v="Headphones"/>
    <n v="5"/>
    <n v="450"/>
    <s v="West"/>
    <x v="6"/>
    <n v="2250"/>
  </r>
  <r>
    <s v="Dec-2023"/>
    <d v="2023-12-11T07:16:08"/>
    <s v="Smart Watch"/>
    <n v="5"/>
    <n v="1800"/>
    <s v="South"/>
    <x v="288"/>
    <n v="9000"/>
  </r>
  <r>
    <s v="Dec-2023"/>
    <d v="2023-12-11T18:57:24"/>
    <s v="Headphones"/>
    <n v="1"/>
    <n v="3500"/>
    <s v="North"/>
    <x v="259"/>
    <n v="3500"/>
  </r>
  <r>
    <s v="Dec-2023"/>
    <d v="2023-12-12T06:38:40"/>
    <s v="Wireless Mouse"/>
    <n v="2"/>
    <n v="1800"/>
    <s v="West"/>
    <x v="139"/>
    <n v="3600"/>
  </r>
  <r>
    <s v="Dec-2023"/>
    <d v="2023-12-12T18:19:56"/>
    <s v="Keyboard"/>
    <n v="6"/>
    <n v="700"/>
    <s v="East"/>
    <x v="299"/>
    <n v="4200"/>
  </r>
  <r>
    <s v="Dec-2023"/>
    <d v="2023-12-13T06:01:12"/>
    <s v="Headphones"/>
    <n v="4"/>
    <n v="700"/>
    <s v="West"/>
    <x v="383"/>
    <n v="2800"/>
  </r>
  <r>
    <s v="Dec-2023"/>
    <d v="2023-12-13T17:42:28"/>
    <s v="Keyboard"/>
    <n v="2"/>
    <n v="700"/>
    <s v="North"/>
    <x v="306"/>
    <n v="1400"/>
  </r>
  <r>
    <s v="Dec-2023"/>
    <d v="2023-12-14T05:23:44"/>
    <s v="Wireless Mouse"/>
    <n v="2"/>
    <n v="450"/>
    <s v="West"/>
    <x v="11"/>
    <n v="900"/>
  </r>
  <r>
    <s v="Dec-2023"/>
    <d v="2023-12-14T17:05:00"/>
    <s v="Wireless Mouse"/>
    <n v="6"/>
    <n v="450"/>
    <s v="West"/>
    <x v="279"/>
    <n v="2700"/>
  </r>
  <r>
    <s v="Dec-2023"/>
    <d v="2023-12-15T04:46:16"/>
    <s v="Keyboard"/>
    <n v="1"/>
    <n v="1800"/>
    <s v="North"/>
    <x v="315"/>
    <n v="1800"/>
  </r>
  <r>
    <s v="Dec-2023"/>
    <d v="2023-12-15T16:27:32"/>
    <s v="Mobile Cover"/>
    <n v="1"/>
    <n v="700"/>
    <s v="South"/>
    <x v="384"/>
    <n v="700"/>
  </r>
  <r>
    <s v="Dec-2023"/>
    <d v="2023-12-16T04:08:48"/>
    <s v="Laptop Bag"/>
    <n v="1"/>
    <n v="450"/>
    <s v="South"/>
    <x v="348"/>
    <n v="450"/>
  </r>
  <r>
    <s v="Dec-2023"/>
    <d v="2023-12-16T15:50:04"/>
    <s v="Mobile Cover"/>
    <n v="1"/>
    <n v="150"/>
    <s v="North"/>
    <x v="385"/>
    <n v="150"/>
  </r>
  <r>
    <s v="Dec-2023"/>
    <d v="2023-12-17T03:31:20"/>
    <s v="Mobile Cover"/>
    <n v="5"/>
    <n v="1800"/>
    <s v="West"/>
    <x v="99"/>
    <n v="9000"/>
  </r>
  <r>
    <s v="Dec-2023"/>
    <d v="2023-12-17T15:12:37"/>
    <s v="Smart Watch"/>
    <n v="1"/>
    <n v="3500"/>
    <s v="North"/>
    <x v="222"/>
    <n v="3500"/>
  </r>
  <r>
    <s v="Dec-2023"/>
    <d v="2023-12-18T02:53:53"/>
    <s v="Mobile Cover"/>
    <n v="5"/>
    <n v="1200"/>
    <s v="South"/>
    <x v="70"/>
    <n v="6000"/>
  </r>
  <r>
    <s v="Dec-2023"/>
    <d v="2023-12-18T14:35:09"/>
    <s v="Headphones"/>
    <n v="5"/>
    <n v="1800"/>
    <s v="East"/>
    <x v="17"/>
    <n v="9000"/>
  </r>
  <r>
    <s v="Dec-2023"/>
    <d v="2023-12-19T02:16:25"/>
    <s v="Smart Watch"/>
    <n v="1"/>
    <n v="1200"/>
    <s v="West"/>
    <x v="30"/>
    <n v="1200"/>
  </r>
  <r>
    <s v="Dec-2023"/>
    <d v="2023-12-19T13:57:41"/>
    <s v="Smart Watch"/>
    <n v="3"/>
    <n v="700"/>
    <s v="South"/>
    <x v="161"/>
    <n v="2100"/>
  </r>
  <r>
    <s v="Dec-2023"/>
    <d v="2023-12-20T01:38:57"/>
    <s v="Wireless Mouse"/>
    <n v="4"/>
    <n v="1200"/>
    <s v="West"/>
    <x v="386"/>
    <n v="4800"/>
  </r>
  <r>
    <s v="Dec-2023"/>
    <d v="2023-12-20T13:20:13"/>
    <s v="Mobile Cover"/>
    <n v="2"/>
    <n v="700"/>
    <s v="North"/>
    <x v="271"/>
    <n v="1400"/>
  </r>
  <r>
    <s v="Dec-2023"/>
    <d v="2023-12-21T01:01:29"/>
    <s v="Wireless Mouse"/>
    <n v="5"/>
    <n v="150"/>
    <s v="East"/>
    <x v="109"/>
    <n v="750"/>
  </r>
  <r>
    <s v="Dec-2023"/>
    <d v="2023-12-21T12:42:45"/>
    <s v="Keyboard"/>
    <n v="6"/>
    <n v="1200"/>
    <s v="North"/>
    <x v="96"/>
    <n v="7200"/>
  </r>
  <r>
    <s v="Dec-2023"/>
    <d v="2023-12-22T00:24:01"/>
    <s v="Laptop Bag"/>
    <n v="6"/>
    <n v="1800"/>
    <s v="East"/>
    <x v="49"/>
    <n v="10800"/>
  </r>
  <r>
    <s v="Dec-2023"/>
    <d v="2023-12-22T12:05:17"/>
    <s v="Smart Watch"/>
    <n v="4"/>
    <n v="700"/>
    <s v="West"/>
    <x v="387"/>
    <n v="2800"/>
  </r>
  <r>
    <s v="Dec-2023"/>
    <d v="2023-12-22T23:46:33"/>
    <s v="Keyboard"/>
    <n v="6"/>
    <n v="1800"/>
    <s v="West"/>
    <x v="388"/>
    <n v="10800"/>
  </r>
  <r>
    <s v="Dec-2023"/>
    <d v="2023-12-23T11:27:49"/>
    <s v="Keyboard"/>
    <n v="3"/>
    <n v="450"/>
    <s v="North"/>
    <x v="58"/>
    <n v="1350"/>
  </r>
  <r>
    <s v="Dec-2023"/>
    <d v="2023-12-23T23:09:05"/>
    <s v="Headphones"/>
    <n v="6"/>
    <n v="700"/>
    <s v="East"/>
    <x v="389"/>
    <n v="4200"/>
  </r>
  <r>
    <s v="Dec-2023"/>
    <d v="2023-12-24T10:50:21"/>
    <s v="Laptop Bag"/>
    <n v="2"/>
    <n v="1200"/>
    <s v="East"/>
    <x v="193"/>
    <n v="2400"/>
  </r>
  <r>
    <s v="Dec-2023"/>
    <d v="2023-12-24T22:31:37"/>
    <s v="Keyboard"/>
    <n v="2"/>
    <n v="700"/>
    <s v="West"/>
    <x v="71"/>
    <n v="1400"/>
  </r>
  <r>
    <s v="Dec-2023"/>
    <d v="2023-12-25T10:12:53"/>
    <s v="Keyboard"/>
    <n v="5"/>
    <n v="1800"/>
    <s v="North"/>
    <x v="369"/>
    <n v="9000"/>
  </r>
  <r>
    <s v="Dec-2023"/>
    <d v="2023-12-25T21:54:09"/>
    <s v="Laptop Bag"/>
    <n v="1"/>
    <n v="150"/>
    <s v="East"/>
    <x v="323"/>
    <n v="150"/>
  </r>
  <r>
    <s v="Dec-2023"/>
    <d v="2023-12-26T09:35:25"/>
    <s v="Laptop Bag"/>
    <n v="3"/>
    <n v="700"/>
    <s v="West"/>
    <x v="258"/>
    <n v="2100"/>
  </r>
  <r>
    <s v="Dec-2023"/>
    <d v="2023-12-26T21:16:41"/>
    <s v="Keyboard"/>
    <n v="5"/>
    <n v="1200"/>
    <s v="South"/>
    <x v="38"/>
    <n v="6000"/>
  </r>
  <r>
    <s v="Dec-2023"/>
    <d v="2023-12-27T08:57:58"/>
    <s v="Laptop Bag"/>
    <n v="3"/>
    <n v="450"/>
    <s v="North"/>
    <x v="26"/>
    <n v="1350"/>
  </r>
  <r>
    <s v="Dec-2023"/>
    <d v="2023-12-27T20:39:14"/>
    <s v="Keyboard"/>
    <n v="1"/>
    <n v="3500"/>
    <s v="South"/>
    <x v="225"/>
    <n v="3500"/>
  </r>
  <r>
    <s v="Dec-2023"/>
    <d v="2023-12-28T08:20:30"/>
    <s v="Keyboard"/>
    <n v="6"/>
    <n v="150"/>
    <s v="North"/>
    <x v="233"/>
    <n v="900"/>
  </r>
  <r>
    <s v="Dec-2023"/>
    <d v="2023-12-28T20:01:46"/>
    <s v="Headphones"/>
    <n v="6"/>
    <n v="450"/>
    <s v="West"/>
    <x v="42"/>
    <n v="2700"/>
  </r>
  <r>
    <s v="Dec-2023"/>
    <d v="2023-12-29T07:43:02"/>
    <s v="Mobile Cover"/>
    <n v="1"/>
    <n v="700"/>
    <s v="East"/>
    <x v="226"/>
    <n v="700"/>
  </r>
  <r>
    <s v="Dec-2023"/>
    <d v="2023-12-29T19:24:18"/>
    <s v="Keyboard"/>
    <n v="5"/>
    <n v="1800"/>
    <s v="East"/>
    <x v="298"/>
    <n v="9000"/>
  </r>
  <r>
    <s v="Dec-2023"/>
    <d v="2023-12-30T07:05:34"/>
    <s v="Wireless Mouse"/>
    <n v="1"/>
    <n v="1800"/>
    <s v="East"/>
    <x v="66"/>
    <n v="1800"/>
  </r>
  <r>
    <s v="Dec-2023"/>
    <d v="2023-12-30T18:46:50"/>
    <s v="Smart Watch"/>
    <n v="4"/>
    <n v="1200"/>
    <s v="North"/>
    <x v="390"/>
    <n v="4800"/>
  </r>
  <r>
    <s v="Dec-2023"/>
    <d v="2023-12-31T06:28:06"/>
    <s v="Mobile Cover"/>
    <n v="2"/>
    <n v="1800"/>
    <s v="West"/>
    <x v="391"/>
    <n v="3600"/>
  </r>
  <r>
    <s v="Dec-2023"/>
    <d v="2023-12-31T18:09:22"/>
    <s v="Mobile Cover"/>
    <n v="5"/>
    <n v="150"/>
    <s v="South"/>
    <x v="184"/>
    <n v="750"/>
  </r>
  <r>
    <s v="Jan-2024"/>
    <d v="2024-01-01T05:50:38"/>
    <s v="Mobile Cover"/>
    <n v="3"/>
    <n v="1800"/>
    <s v="West"/>
    <x v="72"/>
    <n v="5400"/>
  </r>
  <r>
    <s v="Jan-2024"/>
    <d v="2024-01-01T17:31:54"/>
    <s v="Headphones"/>
    <n v="4"/>
    <n v="1200"/>
    <s v="South"/>
    <x v="154"/>
    <n v="4800"/>
  </r>
  <r>
    <s v="Jan-2024"/>
    <d v="2024-01-02T05:13:10"/>
    <s v="Keyboard"/>
    <n v="5"/>
    <n v="3500"/>
    <s v="North"/>
    <x v="392"/>
    <n v="17500"/>
  </r>
  <r>
    <s v="Jan-2024"/>
    <d v="2024-01-02T16:54:26"/>
    <s v="Headphones"/>
    <n v="1"/>
    <n v="700"/>
    <s v="North"/>
    <x v="330"/>
    <n v="700"/>
  </r>
  <r>
    <s v="Jan-2024"/>
    <d v="2024-01-03T04:35:42"/>
    <s v="Keyboard"/>
    <n v="1"/>
    <n v="700"/>
    <s v="South"/>
    <x v="217"/>
    <n v="700"/>
  </r>
  <r>
    <s v="Jan-2024"/>
    <d v="2024-01-03T16:16:58"/>
    <s v="Headphones"/>
    <n v="1"/>
    <n v="1800"/>
    <s v="South"/>
    <x v="35"/>
    <n v="1800"/>
  </r>
  <r>
    <s v="Jan-2024"/>
    <d v="2024-01-04T03:58:14"/>
    <s v="Headphones"/>
    <n v="1"/>
    <n v="450"/>
    <s v="South"/>
    <x v="22"/>
    <n v="450"/>
  </r>
  <r>
    <s v="Jan-2024"/>
    <d v="2024-01-04T15:39:30"/>
    <s v="Smart Watch"/>
    <n v="3"/>
    <n v="700"/>
    <s v="West"/>
    <x v="341"/>
    <n v="2100"/>
  </r>
  <r>
    <s v="Jan-2024"/>
    <d v="2024-01-05T03:20:46"/>
    <s v="Wireless Mouse"/>
    <n v="4"/>
    <n v="3500"/>
    <s v="South"/>
    <x v="232"/>
    <n v="14000"/>
  </r>
  <r>
    <s v="Jan-2024"/>
    <d v="2024-01-05T15:02:02"/>
    <s v="Headphones"/>
    <n v="6"/>
    <n v="1800"/>
    <s v="North"/>
    <x v="393"/>
    <n v="10800"/>
  </r>
  <r>
    <s v="Jan-2024"/>
    <d v="2024-01-06T02:43:19"/>
    <s v="Smart Watch"/>
    <n v="2"/>
    <n v="1200"/>
    <s v="North"/>
    <x v="173"/>
    <n v="2400"/>
  </r>
  <r>
    <s v="Jan-2024"/>
    <d v="2024-01-06T14:24:35"/>
    <s v="Laptop Bag"/>
    <n v="3"/>
    <n v="3500"/>
    <s v="East"/>
    <x v="227"/>
    <n v="10500"/>
  </r>
  <r>
    <s v="Jan-2024"/>
    <d v="2024-01-07T02:05:51"/>
    <s v="Wireless Mouse"/>
    <n v="3"/>
    <n v="1800"/>
    <s v="South"/>
    <x v="332"/>
    <n v="5400"/>
  </r>
  <r>
    <s v="Jan-2024"/>
    <d v="2024-01-07T13:47:07"/>
    <s v="Headphones"/>
    <n v="6"/>
    <n v="3500"/>
    <s v="West"/>
    <x v="394"/>
    <n v="21000"/>
  </r>
  <r>
    <s v="Jan-2024"/>
    <d v="2024-01-08T01:28:23"/>
    <s v="Mobile Cover"/>
    <n v="6"/>
    <n v="700"/>
    <s v="West"/>
    <x v="323"/>
    <n v="4200"/>
  </r>
  <r>
    <s v="Jan-2024"/>
    <d v="2024-01-08T13:09:39"/>
    <s v="Laptop Bag"/>
    <n v="2"/>
    <n v="1200"/>
    <s v="West"/>
    <x v="152"/>
    <n v="2400"/>
  </r>
  <r>
    <s v="Jan-2024"/>
    <d v="2024-01-09T00:50:55"/>
    <s v="Laptop Bag"/>
    <n v="2"/>
    <n v="1800"/>
    <s v="East"/>
    <x v="395"/>
    <n v="3600"/>
  </r>
  <r>
    <s v="Jan-2024"/>
    <d v="2024-01-09T12:32:11"/>
    <s v="Smart Watch"/>
    <n v="6"/>
    <n v="150"/>
    <s v="North"/>
    <x v="62"/>
    <n v="900"/>
  </r>
  <r>
    <s v="Jan-2024"/>
    <d v="2024-01-10T00:13:27"/>
    <s v="Laptop Bag"/>
    <n v="1"/>
    <n v="1200"/>
    <s v="West"/>
    <x v="240"/>
    <n v="1200"/>
  </r>
  <r>
    <s v="Jan-2024"/>
    <d v="2024-01-10T11:54:43"/>
    <s v="Wireless Mouse"/>
    <n v="3"/>
    <n v="150"/>
    <s v="North"/>
    <x v="396"/>
    <n v="450"/>
  </r>
  <r>
    <s v="Jan-2024"/>
    <d v="2024-01-10T23:35:59"/>
    <s v="Headphones"/>
    <n v="5"/>
    <n v="3500"/>
    <s v="East"/>
    <x v="230"/>
    <n v="17500"/>
  </r>
  <r>
    <s v="Jan-2024"/>
    <d v="2024-01-11T11:17:15"/>
    <s v="Headphones"/>
    <n v="2"/>
    <n v="450"/>
    <s v="South"/>
    <x v="158"/>
    <n v="900"/>
  </r>
  <r>
    <s v="Jan-2024"/>
    <d v="2024-01-11T22:58:31"/>
    <s v="Mobile Cover"/>
    <n v="2"/>
    <n v="1200"/>
    <s v="South"/>
    <x v="397"/>
    <n v="2400"/>
  </r>
  <r>
    <s v="Jan-2024"/>
    <d v="2024-01-12T10:39:47"/>
    <s v="Smart Watch"/>
    <n v="6"/>
    <n v="3500"/>
    <s v="South"/>
    <x v="398"/>
    <n v="21000"/>
  </r>
  <r>
    <s v="Jan-2024"/>
    <d v="2024-01-12T22:21:03"/>
    <s v="Mobile Cover"/>
    <n v="4"/>
    <n v="150"/>
    <s v="West"/>
    <x v="296"/>
    <n v="600"/>
  </r>
  <r>
    <s v="Jan-2024"/>
    <d v="2024-01-13T10:02:19"/>
    <s v="Laptop Bag"/>
    <n v="5"/>
    <n v="700"/>
    <s v="South"/>
    <x v="399"/>
    <n v="3500"/>
  </r>
  <r>
    <s v="Jan-2024"/>
    <d v="2024-01-13T21:43:35"/>
    <s v="Mobile Cover"/>
    <n v="5"/>
    <n v="700"/>
    <s v="West"/>
    <x v="197"/>
    <n v="3500"/>
  </r>
  <r>
    <s v="Jan-2024"/>
    <d v="2024-01-14T09:24:51"/>
    <s v="Wireless Mouse"/>
    <n v="2"/>
    <n v="450"/>
    <s v="East"/>
    <x v="400"/>
    <n v="900"/>
  </r>
  <r>
    <s v="Jan-2024"/>
    <d v="2024-01-14T21:06:07"/>
    <s v="Headphones"/>
    <n v="1"/>
    <n v="1200"/>
    <s v="East"/>
    <x v="221"/>
    <n v="1200"/>
  </r>
  <r>
    <s v="Jan-2024"/>
    <d v="2024-01-15T08:47:23"/>
    <s v="Laptop Bag"/>
    <n v="4"/>
    <n v="1200"/>
    <s v="West"/>
    <x v="58"/>
    <n v="4800"/>
  </r>
  <r>
    <s v="Jan-2024"/>
    <d v="2024-01-15T20:28:40"/>
    <s v="Mobile Cover"/>
    <n v="5"/>
    <n v="1200"/>
    <s v="North"/>
    <x v="220"/>
    <n v="6000"/>
  </r>
  <r>
    <s v="Jan-2024"/>
    <d v="2024-01-16T08:09:56"/>
    <s v="Smart Watch"/>
    <n v="2"/>
    <n v="3500"/>
    <s v="South"/>
    <x v="219"/>
    <n v="7000"/>
  </r>
  <r>
    <s v="Jan-2024"/>
    <d v="2024-01-16T19:51:12"/>
    <s v="Wireless Mouse"/>
    <n v="5"/>
    <n v="450"/>
    <s v="South"/>
    <x v="133"/>
    <n v="2250"/>
  </r>
  <r>
    <s v="Jan-2024"/>
    <d v="2024-01-17T07:32:28"/>
    <s v="Wireless Mouse"/>
    <n v="4"/>
    <n v="1200"/>
    <s v="South"/>
    <x v="272"/>
    <n v="4800"/>
  </r>
  <r>
    <s v="Jan-2024"/>
    <d v="2024-01-17T19:13:44"/>
    <s v="Mobile Cover"/>
    <n v="4"/>
    <n v="3500"/>
    <s v="West"/>
    <x v="218"/>
    <n v="14000"/>
  </r>
  <r>
    <s v="Jan-2024"/>
    <d v="2024-01-18T06:55:00"/>
    <s v="Headphones"/>
    <n v="3"/>
    <n v="700"/>
    <s v="East"/>
    <x v="401"/>
    <n v="2100"/>
  </r>
  <r>
    <s v="Jan-2024"/>
    <d v="2024-01-18T18:36:16"/>
    <s v="Mobile Cover"/>
    <n v="6"/>
    <n v="150"/>
    <s v="South"/>
    <x v="250"/>
    <n v="900"/>
  </r>
  <r>
    <s v="Jan-2024"/>
    <d v="2024-01-19T06:17:32"/>
    <s v="Laptop Bag"/>
    <n v="6"/>
    <n v="3500"/>
    <s v="East"/>
    <x v="349"/>
    <n v="21000"/>
  </r>
  <r>
    <s v="Jan-2024"/>
    <d v="2024-01-19T17:58:48"/>
    <s v="Mobile Cover"/>
    <n v="2"/>
    <n v="700"/>
    <s v="South"/>
    <x v="161"/>
    <n v="1400"/>
  </r>
  <r>
    <s v="Jan-2024"/>
    <d v="2024-01-20T05:40:04"/>
    <s v="Wireless Mouse"/>
    <n v="4"/>
    <n v="700"/>
    <s v="South"/>
    <x v="293"/>
    <n v="2800"/>
  </r>
  <r>
    <s v="Jan-2024"/>
    <d v="2024-01-20T17:21:20"/>
    <s v="Mobile Cover"/>
    <n v="3"/>
    <n v="150"/>
    <s v="West"/>
    <x v="294"/>
    <n v="450"/>
  </r>
  <r>
    <s v="Jan-2024"/>
    <d v="2024-01-21T05:02:36"/>
    <s v="Headphones"/>
    <n v="3"/>
    <n v="700"/>
    <s v="North"/>
    <x v="388"/>
    <n v="2100"/>
  </r>
  <r>
    <s v="Jan-2024"/>
    <d v="2024-01-21T16:43:52"/>
    <s v="Smart Watch"/>
    <n v="5"/>
    <n v="450"/>
    <s v="West"/>
    <x v="138"/>
    <n v="2250"/>
  </r>
  <r>
    <s v="Jan-2024"/>
    <d v="2024-01-22T04:25:08"/>
    <s v="Keyboard"/>
    <n v="5"/>
    <n v="150"/>
    <s v="South"/>
    <x v="344"/>
    <n v="750"/>
  </r>
  <r>
    <s v="Jan-2024"/>
    <d v="2024-01-22T16:06:24"/>
    <s v="Mobile Cover"/>
    <n v="3"/>
    <n v="700"/>
    <s v="South"/>
    <x v="253"/>
    <n v="2100"/>
  </r>
  <r>
    <s v="Jan-2024"/>
    <d v="2024-01-23T03:47:40"/>
    <s v="Headphones"/>
    <n v="5"/>
    <n v="1800"/>
    <s v="North"/>
    <x v="190"/>
    <n v="9000"/>
  </r>
  <r>
    <s v="Jan-2024"/>
    <d v="2024-01-23T15:28:56"/>
    <s v="Headphones"/>
    <n v="4"/>
    <n v="3500"/>
    <s v="East"/>
    <x v="259"/>
    <n v="14000"/>
  </r>
  <r>
    <s v="Jan-2024"/>
    <d v="2024-01-24T03:10:12"/>
    <s v="Smart Watch"/>
    <n v="1"/>
    <n v="700"/>
    <s v="East"/>
    <x v="402"/>
    <n v="700"/>
  </r>
  <r>
    <s v="Jan-2024"/>
    <d v="2024-01-24T14:51:28"/>
    <s v="Wireless Mouse"/>
    <n v="4"/>
    <n v="450"/>
    <s v="South"/>
    <x v="174"/>
    <n v="1800"/>
  </r>
  <r>
    <s v="Jan-2024"/>
    <d v="2024-01-25T02:32:45"/>
    <s v="Headphones"/>
    <n v="3"/>
    <n v="1200"/>
    <s v="East"/>
    <x v="217"/>
    <n v="3600"/>
  </r>
  <r>
    <s v="Jan-2024"/>
    <d v="2024-01-25T14:14:01"/>
    <s v="Headphones"/>
    <n v="3"/>
    <n v="700"/>
    <s v="South"/>
    <x v="338"/>
    <n v="2100"/>
  </r>
  <r>
    <s v="Jan-2024"/>
    <d v="2024-01-26T01:55:17"/>
    <s v="Headphones"/>
    <n v="4"/>
    <n v="1200"/>
    <s v="North"/>
    <x v="102"/>
    <n v="4800"/>
  </r>
  <r>
    <s v="Jan-2024"/>
    <d v="2024-01-26T13:36:33"/>
    <s v="Headphones"/>
    <n v="5"/>
    <n v="1800"/>
    <s v="North"/>
    <x v="85"/>
    <n v="9000"/>
  </r>
  <r>
    <s v="Jan-2024"/>
    <d v="2024-01-27T01:17:49"/>
    <s v="Laptop Bag"/>
    <n v="5"/>
    <n v="700"/>
    <s v="South"/>
    <x v="47"/>
    <n v="3500"/>
  </r>
  <r>
    <s v="Jan-2024"/>
    <d v="2024-01-27T12:59:05"/>
    <s v="Laptop Bag"/>
    <n v="6"/>
    <n v="150"/>
    <s v="North"/>
    <x v="105"/>
    <n v="900"/>
  </r>
  <r>
    <s v="Jan-2024"/>
    <d v="2024-01-28T00:40:21"/>
    <s v="Wireless Mouse"/>
    <n v="3"/>
    <n v="1200"/>
    <s v="West"/>
    <x v="378"/>
    <n v="3600"/>
  </r>
  <r>
    <s v="Jan-2024"/>
    <d v="2024-01-28T12:21:37"/>
    <s v="Mobile Cover"/>
    <n v="2"/>
    <n v="1800"/>
    <s v="West"/>
    <x v="403"/>
    <n v="3600"/>
  </r>
  <r>
    <s v="Jan-2024"/>
    <d v="2024-01-29T00:02:53"/>
    <s v="Headphones"/>
    <n v="6"/>
    <n v="150"/>
    <s v="North"/>
    <x v="404"/>
    <n v="900"/>
  </r>
  <r>
    <s v="Jan-2024"/>
    <d v="2024-01-29T11:44:09"/>
    <s v="Smart Watch"/>
    <n v="5"/>
    <n v="150"/>
    <s v="South"/>
    <x v="25"/>
    <n v="750"/>
  </r>
  <r>
    <s v="Jan-2024"/>
    <d v="2024-01-29T23:25:25"/>
    <s v="Mobile Cover"/>
    <n v="4"/>
    <n v="150"/>
    <s v="South"/>
    <x v="224"/>
    <n v="600"/>
  </r>
  <r>
    <s v="Jan-2024"/>
    <d v="2024-01-30T11:06:41"/>
    <s v="Smart Watch"/>
    <n v="5"/>
    <n v="150"/>
    <s v="North"/>
    <x v="251"/>
    <n v="750"/>
  </r>
  <r>
    <s v="Jan-2024"/>
    <d v="2024-01-30T22:47:57"/>
    <s v="Mobile Cover"/>
    <n v="4"/>
    <n v="700"/>
    <s v="East"/>
    <x v="100"/>
    <n v="2800"/>
  </r>
  <r>
    <s v="Jan-2024"/>
    <d v="2024-01-31T10:29:13"/>
    <s v="Wireless Mouse"/>
    <n v="6"/>
    <n v="3500"/>
    <s v="West"/>
    <x v="76"/>
    <n v="21000"/>
  </r>
  <r>
    <s v="Jan-2024"/>
    <d v="2024-01-31T22:10:29"/>
    <s v="Headphones"/>
    <n v="3"/>
    <n v="700"/>
    <s v="East"/>
    <x v="405"/>
    <n v="2100"/>
  </r>
  <r>
    <s v="Feb-2024"/>
    <d v="2024-02-01T09:51:45"/>
    <s v="Headphones"/>
    <n v="5"/>
    <n v="700"/>
    <s v="South"/>
    <x v="311"/>
    <n v="3500"/>
  </r>
  <r>
    <s v="Feb-2024"/>
    <d v="2024-02-01T21:33:01"/>
    <s v="Keyboard"/>
    <n v="4"/>
    <n v="1800"/>
    <s v="South"/>
    <x v="198"/>
    <n v="7200"/>
  </r>
  <r>
    <s v="Feb-2024"/>
    <d v="2024-02-02T09:14:17"/>
    <s v="Smart Watch"/>
    <n v="3"/>
    <n v="1800"/>
    <s v="East"/>
    <x v="350"/>
    <n v="5400"/>
  </r>
  <r>
    <s v="Feb-2024"/>
    <d v="2024-02-02T20:55:33"/>
    <s v="Mobile Cover"/>
    <n v="2"/>
    <n v="3500"/>
    <s v="North"/>
    <x v="406"/>
    <n v="7000"/>
  </r>
  <r>
    <s v="Feb-2024"/>
    <d v="2024-02-03T08:36:49"/>
    <s v="Mobile Cover"/>
    <n v="4"/>
    <n v="1800"/>
    <s v="East"/>
    <x v="293"/>
    <n v="7200"/>
  </r>
  <r>
    <s v="Feb-2024"/>
    <d v="2024-02-03T20:18:06"/>
    <s v="Laptop Bag"/>
    <n v="6"/>
    <n v="450"/>
    <s v="East"/>
    <x v="196"/>
    <n v="2700"/>
  </r>
  <r>
    <s v="Feb-2024"/>
    <d v="2024-02-04T07:59:22"/>
    <s v="Keyboard"/>
    <n v="2"/>
    <n v="3500"/>
    <s v="West"/>
    <x v="376"/>
    <n v="7000"/>
  </r>
  <r>
    <s v="Feb-2024"/>
    <d v="2024-02-04T19:40:38"/>
    <s v="Laptop Bag"/>
    <n v="2"/>
    <n v="1800"/>
    <s v="West"/>
    <x v="25"/>
    <n v="3600"/>
  </r>
  <r>
    <s v="Feb-2024"/>
    <d v="2024-02-05T07:21:54"/>
    <s v="Laptop Bag"/>
    <n v="1"/>
    <n v="3500"/>
    <s v="East"/>
    <x v="171"/>
    <n v="3500"/>
  </r>
  <r>
    <s v="Feb-2024"/>
    <d v="2024-02-05T19:03:10"/>
    <s v="Laptop Bag"/>
    <n v="5"/>
    <n v="700"/>
    <s v="East"/>
    <x v="164"/>
    <n v="3500"/>
  </r>
  <r>
    <s v="Feb-2024"/>
    <d v="2024-02-06T06:44:26"/>
    <s v="Smart Watch"/>
    <n v="4"/>
    <n v="700"/>
    <s v="South"/>
    <x v="65"/>
    <n v="2800"/>
  </r>
  <r>
    <s v="Feb-2024"/>
    <d v="2024-02-06T18:25:42"/>
    <s v="Smart Watch"/>
    <n v="2"/>
    <n v="3500"/>
    <s v="West"/>
    <x v="29"/>
    <n v="7000"/>
  </r>
  <r>
    <s v="Feb-2024"/>
    <d v="2024-02-07T06:06:58"/>
    <s v="Wireless Mouse"/>
    <n v="1"/>
    <n v="450"/>
    <s v="West"/>
    <x v="212"/>
    <n v="450"/>
  </r>
  <r>
    <s v="Feb-2024"/>
    <d v="2024-02-07T17:48:14"/>
    <s v="Wireless Mouse"/>
    <n v="6"/>
    <n v="450"/>
    <s v="South"/>
    <x v="379"/>
    <n v="2700"/>
  </r>
  <r>
    <s v="Feb-2024"/>
    <d v="2024-02-08T05:29:30"/>
    <s v="Laptop Bag"/>
    <n v="3"/>
    <n v="3500"/>
    <s v="North"/>
    <x v="407"/>
    <n v="10500"/>
  </r>
  <r>
    <s v="Feb-2024"/>
    <d v="2024-02-08T17:10:46"/>
    <s v="Keyboard"/>
    <n v="4"/>
    <n v="1800"/>
    <s v="West"/>
    <x v="216"/>
    <n v="7200"/>
  </r>
  <r>
    <s v="Feb-2024"/>
    <d v="2024-02-09T04:52:02"/>
    <s v="Mobile Cover"/>
    <n v="2"/>
    <n v="1200"/>
    <s v="West"/>
    <x v="394"/>
    <n v="2400"/>
  </r>
  <r>
    <s v="Feb-2024"/>
    <d v="2024-02-09T16:33:18"/>
    <s v="Smart Watch"/>
    <n v="5"/>
    <n v="450"/>
    <s v="North"/>
    <x v="56"/>
    <n v="2250"/>
  </r>
  <r>
    <s v="Feb-2024"/>
    <d v="2024-02-10T04:14:34"/>
    <s v="Keyboard"/>
    <n v="1"/>
    <n v="150"/>
    <s v="West"/>
    <x v="266"/>
    <n v="150"/>
  </r>
  <r>
    <s v="Feb-2024"/>
    <d v="2024-02-10T15:55:50"/>
    <s v="Headphones"/>
    <n v="2"/>
    <n v="700"/>
    <s v="West"/>
    <x v="408"/>
    <n v="1400"/>
  </r>
  <r>
    <s v="Feb-2024"/>
    <d v="2024-02-11T03:37:06"/>
    <s v="Smart Watch"/>
    <n v="5"/>
    <n v="3500"/>
    <s v="North"/>
    <x v="179"/>
    <n v="17500"/>
  </r>
  <r>
    <s v="Feb-2024"/>
    <d v="2024-02-11T15:18:22"/>
    <s v="Smart Watch"/>
    <n v="2"/>
    <n v="150"/>
    <s v="North"/>
    <x v="146"/>
    <n v="300"/>
  </r>
  <r>
    <s v="Feb-2024"/>
    <d v="2024-02-12T02:59:38"/>
    <s v="Wireless Mouse"/>
    <n v="4"/>
    <n v="3500"/>
    <s v="East"/>
    <x v="56"/>
    <n v="14000"/>
  </r>
  <r>
    <s v="Feb-2024"/>
    <d v="2024-02-12T14:40:54"/>
    <s v="Mobile Cover"/>
    <n v="4"/>
    <n v="700"/>
    <s v="South"/>
    <x v="248"/>
    <n v="2800"/>
  </r>
  <r>
    <s v="Feb-2024"/>
    <d v="2024-02-13T02:22:10"/>
    <s v="Mobile Cover"/>
    <n v="4"/>
    <n v="700"/>
    <s v="South"/>
    <x v="409"/>
    <n v="2800"/>
  </r>
  <r>
    <s v="Feb-2024"/>
    <d v="2024-02-13T14:03:27"/>
    <s v="Headphones"/>
    <n v="6"/>
    <n v="450"/>
    <s v="North"/>
    <x v="410"/>
    <n v="2700"/>
  </r>
  <r>
    <s v="Feb-2024"/>
    <d v="2024-02-14T01:44:43"/>
    <s v="Headphones"/>
    <n v="6"/>
    <n v="450"/>
    <s v="North"/>
    <x v="49"/>
    <n v="2700"/>
  </r>
  <r>
    <s v="Feb-2024"/>
    <d v="2024-02-14T13:25:59"/>
    <s v="Smart Watch"/>
    <n v="1"/>
    <n v="150"/>
    <s v="West"/>
    <x v="84"/>
    <n v="150"/>
  </r>
  <r>
    <s v="Feb-2024"/>
    <d v="2024-02-15T01:07:15"/>
    <s v="Laptop Bag"/>
    <n v="4"/>
    <n v="3500"/>
    <s v="East"/>
    <x v="355"/>
    <n v="14000"/>
  </r>
  <r>
    <s v="Feb-2024"/>
    <d v="2024-02-15T12:48:31"/>
    <s v="Wireless Mouse"/>
    <n v="5"/>
    <n v="700"/>
    <s v="East"/>
    <x v="405"/>
    <n v="3500"/>
  </r>
  <r>
    <s v="Feb-2024"/>
    <d v="2024-02-16T00:29:47"/>
    <s v="Wireless Mouse"/>
    <n v="2"/>
    <n v="150"/>
    <s v="North"/>
    <x v="286"/>
    <n v="300"/>
  </r>
  <r>
    <s v="Feb-2024"/>
    <d v="2024-02-16T12:11:03"/>
    <s v="Smart Watch"/>
    <n v="3"/>
    <n v="1200"/>
    <s v="West"/>
    <x v="137"/>
    <n v="3600"/>
  </r>
  <r>
    <s v="Feb-2024"/>
    <d v="2024-02-16T23:52:19"/>
    <s v="Keyboard"/>
    <n v="5"/>
    <n v="150"/>
    <s v="West"/>
    <x v="293"/>
    <n v="750"/>
  </r>
  <r>
    <s v="Feb-2024"/>
    <d v="2024-02-17T11:33:35"/>
    <s v="Laptop Bag"/>
    <n v="6"/>
    <n v="1800"/>
    <s v="South"/>
    <x v="159"/>
    <n v="10800"/>
  </r>
  <r>
    <s v="Feb-2024"/>
    <d v="2024-02-17T23:14:51"/>
    <s v="Smart Watch"/>
    <n v="6"/>
    <n v="150"/>
    <s v="South"/>
    <x v="325"/>
    <n v="900"/>
  </r>
  <r>
    <s v="Feb-2024"/>
    <d v="2024-02-18T10:56:07"/>
    <s v="Laptop Bag"/>
    <n v="5"/>
    <n v="1800"/>
    <s v="West"/>
    <x v="411"/>
    <n v="9000"/>
  </r>
  <r>
    <s v="Feb-2024"/>
    <d v="2024-02-18T22:37:23"/>
    <s v="Laptop Bag"/>
    <n v="6"/>
    <n v="1800"/>
    <s v="South"/>
    <x v="183"/>
    <n v="10800"/>
  </r>
  <r>
    <s v="Feb-2024"/>
    <d v="2024-02-19T10:18:39"/>
    <s v="Laptop Bag"/>
    <n v="4"/>
    <n v="1800"/>
    <s v="North"/>
    <x v="27"/>
    <n v="7200"/>
  </r>
  <r>
    <s v="Feb-2024"/>
    <d v="2024-02-19T21:59:55"/>
    <s v="Smart Watch"/>
    <n v="1"/>
    <n v="1200"/>
    <s v="West"/>
    <x v="2"/>
    <n v="1200"/>
  </r>
  <r>
    <s v="Feb-2024"/>
    <d v="2024-02-20T09:41:11"/>
    <s v="Wireless Mouse"/>
    <n v="2"/>
    <n v="150"/>
    <s v="South"/>
    <x v="167"/>
    <n v="300"/>
  </r>
  <r>
    <s v="Feb-2024"/>
    <d v="2024-02-20T21:22:27"/>
    <s v="Wireless Mouse"/>
    <n v="1"/>
    <n v="150"/>
    <s v="East"/>
    <x v="103"/>
    <n v="150"/>
  </r>
  <r>
    <s v="Feb-2024"/>
    <d v="2024-02-21T09:03:43"/>
    <s v="Laptop Bag"/>
    <n v="2"/>
    <n v="1200"/>
    <s v="West"/>
    <x v="283"/>
    <n v="2400"/>
  </r>
  <r>
    <s v="Feb-2024"/>
    <d v="2024-02-21T20:44:59"/>
    <s v="Keyboard"/>
    <n v="2"/>
    <n v="700"/>
    <s v="West"/>
    <x v="398"/>
    <n v="1400"/>
  </r>
  <r>
    <s v="Feb-2024"/>
    <d v="2024-02-22T08:26:15"/>
    <s v="Mobile Cover"/>
    <n v="1"/>
    <n v="450"/>
    <s v="East"/>
    <x v="140"/>
    <n v="450"/>
  </r>
  <r>
    <s v="Feb-2024"/>
    <d v="2024-02-22T20:07:32"/>
    <s v="Smart Watch"/>
    <n v="5"/>
    <n v="150"/>
    <s v="North"/>
    <x v="166"/>
    <n v="750"/>
  </r>
  <r>
    <s v="Feb-2024"/>
    <d v="2024-02-23T07:48:48"/>
    <s v="Mobile Cover"/>
    <n v="2"/>
    <n v="450"/>
    <s v="East"/>
    <x v="59"/>
    <n v="900"/>
  </r>
  <r>
    <s v="Feb-2024"/>
    <d v="2024-02-23T19:30:04"/>
    <s v="Keyboard"/>
    <n v="1"/>
    <n v="3500"/>
    <s v="West"/>
    <x v="216"/>
    <n v="3500"/>
  </r>
  <r>
    <s v="Feb-2024"/>
    <d v="2024-02-24T07:11:20"/>
    <s v="Smart Watch"/>
    <n v="2"/>
    <n v="3500"/>
    <s v="North"/>
    <x v="258"/>
    <n v="7000"/>
  </r>
  <r>
    <s v="Feb-2024"/>
    <d v="2024-02-24T18:52:36"/>
    <s v="Laptop Bag"/>
    <n v="3"/>
    <n v="1200"/>
    <s v="South"/>
    <x v="412"/>
    <n v="3600"/>
  </r>
  <r>
    <s v="Feb-2024"/>
    <d v="2024-02-25T06:33:52"/>
    <s v="Wireless Mouse"/>
    <n v="5"/>
    <n v="3500"/>
    <s v="South"/>
    <x v="274"/>
    <n v="17500"/>
  </r>
  <r>
    <s v="Feb-2024"/>
    <d v="2024-02-25T18:15:08"/>
    <s v="Mobile Cover"/>
    <n v="4"/>
    <n v="3500"/>
    <s v="South"/>
    <x v="262"/>
    <n v="14000"/>
  </r>
  <r>
    <s v="Feb-2024"/>
    <d v="2024-02-26T05:56:24"/>
    <s v="Headphones"/>
    <n v="2"/>
    <n v="700"/>
    <s v="West"/>
    <x v="269"/>
    <n v="1400"/>
  </r>
  <r>
    <s v="Feb-2024"/>
    <d v="2024-02-26T17:37:40"/>
    <s v="Headphones"/>
    <n v="3"/>
    <n v="700"/>
    <s v="East"/>
    <x v="413"/>
    <n v="2100"/>
  </r>
  <r>
    <s v="Feb-2024"/>
    <d v="2024-02-27T05:18:56"/>
    <s v="Keyboard"/>
    <n v="4"/>
    <n v="700"/>
    <s v="North"/>
    <x v="233"/>
    <n v="2800"/>
  </r>
  <r>
    <s v="Feb-2024"/>
    <d v="2024-02-27T17:00:12"/>
    <s v="Laptop Bag"/>
    <n v="4"/>
    <n v="3500"/>
    <s v="South"/>
    <x v="332"/>
    <n v="14000"/>
  </r>
  <r>
    <s v="Feb-2024"/>
    <d v="2024-02-28T04:41:28"/>
    <s v="Mobile Cover"/>
    <n v="2"/>
    <n v="1200"/>
    <s v="North"/>
    <x v="339"/>
    <n v="2400"/>
  </r>
  <r>
    <s v="Feb-2024"/>
    <d v="2024-02-28T16:22:44"/>
    <s v="Laptop Bag"/>
    <n v="1"/>
    <n v="1800"/>
    <s v="West"/>
    <x v="414"/>
    <n v="1800"/>
  </r>
  <r>
    <s v="Feb-2024"/>
    <d v="2024-02-29T04:04:00"/>
    <s v="Mobile Cover"/>
    <n v="2"/>
    <n v="1800"/>
    <s v="South"/>
    <x v="361"/>
    <n v="3600"/>
  </r>
  <r>
    <s v="Feb-2024"/>
    <d v="2024-02-29T15:45:16"/>
    <s v="Keyboard"/>
    <n v="3"/>
    <n v="450"/>
    <s v="West"/>
    <x v="151"/>
    <n v="1350"/>
  </r>
  <r>
    <s v="Mar-2024"/>
    <d v="2024-03-01T03:26:32"/>
    <s v="Keyboard"/>
    <n v="4"/>
    <n v="1800"/>
    <s v="East"/>
    <x v="236"/>
    <n v="7200"/>
  </r>
  <r>
    <s v="Mar-2024"/>
    <d v="2024-03-01T15:07:48"/>
    <s v="Headphones"/>
    <n v="2"/>
    <n v="1800"/>
    <s v="West"/>
    <x v="174"/>
    <n v="3600"/>
  </r>
  <r>
    <s v="Mar-2024"/>
    <d v="2024-03-02T02:49:04"/>
    <s v="Laptop Bag"/>
    <n v="1"/>
    <n v="700"/>
    <s v="West"/>
    <x v="328"/>
    <n v="700"/>
  </r>
  <r>
    <s v="Mar-2024"/>
    <d v="2024-03-02T14:30:20"/>
    <s v="Smart Watch"/>
    <n v="2"/>
    <n v="700"/>
    <s v="East"/>
    <x v="415"/>
    <n v="1400"/>
  </r>
  <r>
    <s v="Mar-2024"/>
    <d v="2024-03-03T02:11:36"/>
    <s v="Headphones"/>
    <n v="5"/>
    <n v="3500"/>
    <s v="North"/>
    <x v="71"/>
    <n v="17500"/>
  </r>
  <r>
    <s v="Mar-2024"/>
    <d v="2024-03-03T13:52:53"/>
    <s v="Laptop Bag"/>
    <n v="1"/>
    <n v="450"/>
    <s v="East"/>
    <x v="178"/>
    <n v="450"/>
  </r>
  <r>
    <s v="Mar-2024"/>
    <d v="2024-03-04T01:34:09"/>
    <s v="Headphones"/>
    <n v="3"/>
    <n v="150"/>
    <s v="East"/>
    <x v="147"/>
    <n v="450"/>
  </r>
  <r>
    <s v="Mar-2024"/>
    <d v="2024-03-04T13:15:25"/>
    <s v="Smart Watch"/>
    <n v="4"/>
    <n v="450"/>
    <s v="West"/>
    <x v="69"/>
    <n v="1800"/>
  </r>
  <r>
    <s v="Mar-2024"/>
    <d v="2024-03-05T00:56:41"/>
    <s v="Wireless Mouse"/>
    <n v="2"/>
    <n v="450"/>
    <s v="North"/>
    <x v="262"/>
    <n v="900"/>
  </r>
  <r>
    <s v="Mar-2024"/>
    <d v="2024-03-05T12:37:57"/>
    <s v="Wireless Mouse"/>
    <n v="1"/>
    <n v="1200"/>
    <s v="South"/>
    <x v="416"/>
    <n v="1200"/>
  </r>
  <r>
    <s v="Mar-2024"/>
    <d v="2024-03-06T00:19:13"/>
    <s v="Wireless Mouse"/>
    <n v="5"/>
    <n v="3500"/>
    <s v="East"/>
    <x v="355"/>
    <n v="17500"/>
  </r>
  <r>
    <s v="Mar-2024"/>
    <d v="2024-03-06T12:00:29"/>
    <s v="Wireless Mouse"/>
    <n v="1"/>
    <n v="1200"/>
    <s v="North"/>
    <x v="259"/>
    <n v="1200"/>
  </r>
  <r>
    <s v="Mar-2024"/>
    <d v="2024-03-06T23:41:45"/>
    <s v="Mobile Cover"/>
    <n v="6"/>
    <n v="450"/>
    <s v="East"/>
    <x v="357"/>
    <n v="2700"/>
  </r>
  <r>
    <s v="Mar-2024"/>
    <d v="2024-03-07T11:23:01"/>
    <s v="Wireless Mouse"/>
    <n v="5"/>
    <n v="450"/>
    <s v="East"/>
    <x v="134"/>
    <n v="2250"/>
  </r>
  <r>
    <s v="Mar-2024"/>
    <d v="2024-03-07T23:04:17"/>
    <s v="Smart Watch"/>
    <n v="3"/>
    <n v="450"/>
    <s v="East"/>
    <x v="146"/>
    <n v="1350"/>
  </r>
  <r>
    <s v="Mar-2024"/>
    <d v="2024-03-08T10:45:33"/>
    <s v="Keyboard"/>
    <n v="4"/>
    <n v="1800"/>
    <s v="East"/>
    <x v="308"/>
    <n v="7200"/>
  </r>
  <r>
    <s v="Mar-2024"/>
    <d v="2024-03-08T22:26:49"/>
    <s v="Keyboard"/>
    <n v="3"/>
    <n v="1200"/>
    <s v="West"/>
    <x v="417"/>
    <n v="3600"/>
  </r>
  <r>
    <s v="Mar-2024"/>
    <d v="2024-03-09T10:08:05"/>
    <s v="Mobile Cover"/>
    <n v="2"/>
    <n v="450"/>
    <s v="North"/>
    <x v="300"/>
    <n v="900"/>
  </r>
  <r>
    <s v="Mar-2024"/>
    <d v="2024-03-09T21:49:21"/>
    <s v="Wireless Mouse"/>
    <n v="1"/>
    <n v="700"/>
    <s v="North"/>
    <x v="418"/>
    <n v="700"/>
  </r>
  <r>
    <s v="Mar-2024"/>
    <d v="2024-03-10T09:30:37"/>
    <s v="Wireless Mouse"/>
    <n v="6"/>
    <n v="3500"/>
    <s v="North"/>
    <x v="308"/>
    <n v="21000"/>
  </r>
  <r>
    <s v="Mar-2024"/>
    <d v="2024-03-10T21:11:53"/>
    <s v="Wireless Mouse"/>
    <n v="5"/>
    <n v="3500"/>
    <s v="East"/>
    <x v="419"/>
    <n v="17500"/>
  </r>
  <r>
    <s v="Mar-2024"/>
    <d v="2024-03-11T08:53:09"/>
    <s v="Headphones"/>
    <n v="5"/>
    <n v="700"/>
    <s v="West"/>
    <x v="370"/>
    <n v="3500"/>
  </r>
  <r>
    <s v="Mar-2024"/>
    <d v="2024-03-11T20:34:25"/>
    <s v="Laptop Bag"/>
    <n v="1"/>
    <n v="3500"/>
    <s v="East"/>
    <x v="163"/>
    <n v="3500"/>
  </r>
  <r>
    <s v="Mar-2024"/>
    <d v="2024-03-12T08:15:41"/>
    <s v="Headphones"/>
    <n v="6"/>
    <n v="1800"/>
    <s v="East"/>
    <x v="194"/>
    <n v="10800"/>
  </r>
  <r>
    <s v="Mar-2024"/>
    <d v="2024-03-12T19:56:57"/>
    <s v="Laptop Bag"/>
    <n v="1"/>
    <n v="1800"/>
    <s v="North"/>
    <x v="407"/>
    <n v="1800"/>
  </r>
  <r>
    <s v="Mar-2024"/>
    <d v="2024-03-13T07:38:14"/>
    <s v="Wireless Mouse"/>
    <n v="2"/>
    <n v="150"/>
    <s v="East"/>
    <x v="107"/>
    <n v="300"/>
  </r>
  <r>
    <s v="Mar-2024"/>
    <d v="2024-03-13T19:19:30"/>
    <s v="Wireless Mouse"/>
    <n v="3"/>
    <n v="150"/>
    <s v="South"/>
    <x v="270"/>
    <n v="450"/>
  </r>
  <r>
    <s v="Mar-2024"/>
    <d v="2024-03-14T07:00:46"/>
    <s v="Headphones"/>
    <n v="5"/>
    <n v="150"/>
    <s v="East"/>
    <x v="420"/>
    <n v="750"/>
  </r>
  <r>
    <s v="Mar-2024"/>
    <d v="2024-03-14T18:42:02"/>
    <s v="Headphones"/>
    <n v="2"/>
    <n v="3500"/>
    <s v="South"/>
    <x v="187"/>
    <n v="7000"/>
  </r>
  <r>
    <s v="Mar-2024"/>
    <d v="2024-03-15T06:23:18"/>
    <s v="Laptop Bag"/>
    <n v="3"/>
    <n v="1800"/>
    <s v="East"/>
    <x v="421"/>
    <n v="5400"/>
  </r>
  <r>
    <s v="Mar-2024"/>
    <d v="2024-03-15T18:04:34"/>
    <s v="Keyboard"/>
    <n v="2"/>
    <n v="1800"/>
    <s v="West"/>
    <x v="153"/>
    <n v="3600"/>
  </r>
  <r>
    <s v="Mar-2024"/>
    <d v="2024-03-16T05:45:50"/>
    <s v="Laptop Bag"/>
    <n v="6"/>
    <n v="1800"/>
    <s v="West"/>
    <x v="69"/>
    <n v="10800"/>
  </r>
  <r>
    <s v="Mar-2024"/>
    <d v="2024-03-16T17:27:06"/>
    <s v="Headphones"/>
    <n v="5"/>
    <n v="700"/>
    <s v="North"/>
    <x v="171"/>
    <n v="3500"/>
  </r>
  <r>
    <s v="Mar-2024"/>
    <d v="2024-03-17T05:08:22"/>
    <s v="Smart Watch"/>
    <n v="1"/>
    <n v="1800"/>
    <s v="East"/>
    <x v="227"/>
    <n v="1800"/>
  </r>
  <r>
    <s v="Mar-2024"/>
    <d v="2024-03-17T16:49:38"/>
    <s v="Headphones"/>
    <n v="1"/>
    <n v="700"/>
    <s v="South"/>
    <x v="418"/>
    <n v="700"/>
  </r>
  <r>
    <s v="Mar-2024"/>
    <d v="2024-03-18T04:30:54"/>
    <s v="Smart Watch"/>
    <n v="3"/>
    <n v="150"/>
    <s v="South"/>
    <x v="62"/>
    <n v="450"/>
  </r>
  <r>
    <s v="Mar-2024"/>
    <d v="2024-03-18T16:12:10"/>
    <s v="Mobile Cover"/>
    <n v="4"/>
    <n v="150"/>
    <s v="East"/>
    <x v="339"/>
    <n v="600"/>
  </r>
  <r>
    <s v="Mar-2024"/>
    <d v="2024-03-19T03:53:26"/>
    <s v="Headphones"/>
    <n v="6"/>
    <n v="3500"/>
    <s v="South"/>
    <x v="165"/>
    <n v="21000"/>
  </r>
  <r>
    <s v="Mar-2024"/>
    <d v="2024-03-19T15:34:42"/>
    <s v="Mobile Cover"/>
    <n v="3"/>
    <n v="150"/>
    <s v="West"/>
    <x v="422"/>
    <n v="450"/>
  </r>
  <r>
    <s v="Mar-2024"/>
    <d v="2024-03-20T03:15:58"/>
    <s v="Keyboard"/>
    <n v="4"/>
    <n v="3500"/>
    <s v="South"/>
    <x v="97"/>
    <n v="14000"/>
  </r>
  <r>
    <s v="Mar-2024"/>
    <d v="2024-03-20T14:57:14"/>
    <s v="Laptop Bag"/>
    <n v="2"/>
    <n v="450"/>
    <s v="North"/>
    <x v="392"/>
    <n v="900"/>
  </r>
  <r>
    <s v="Mar-2024"/>
    <d v="2024-03-21T02:38:30"/>
    <s v="Smart Watch"/>
    <n v="6"/>
    <n v="450"/>
    <s v="West"/>
    <x v="423"/>
    <n v="2700"/>
  </r>
  <r>
    <s v="Mar-2024"/>
    <d v="2024-03-21T14:19:46"/>
    <s v="Laptop Bag"/>
    <n v="2"/>
    <n v="1200"/>
    <s v="West"/>
    <x v="424"/>
    <n v="2400"/>
  </r>
  <r>
    <s v="Mar-2024"/>
    <d v="2024-03-22T02:01:02"/>
    <s v="Mobile Cover"/>
    <n v="5"/>
    <n v="3500"/>
    <s v="West"/>
    <x v="128"/>
    <n v="17500"/>
  </r>
  <r>
    <s v="Mar-2024"/>
    <d v="2024-03-22T13:42:18"/>
    <s v="Smart Watch"/>
    <n v="6"/>
    <n v="1200"/>
    <s v="East"/>
    <x v="53"/>
    <n v="7200"/>
  </r>
  <r>
    <s v="Mar-2024"/>
    <d v="2024-03-23T01:23:35"/>
    <s v="Laptop Bag"/>
    <n v="4"/>
    <n v="1200"/>
    <s v="East"/>
    <x v="123"/>
    <n v="4800"/>
  </r>
  <r>
    <s v="Mar-2024"/>
    <d v="2024-03-23T13:04:51"/>
    <s v="Headphones"/>
    <n v="5"/>
    <n v="450"/>
    <s v="West"/>
    <x v="425"/>
    <n v="2250"/>
  </r>
  <r>
    <s v="Mar-2024"/>
    <d v="2024-03-24T00:46:07"/>
    <s v="Wireless Mouse"/>
    <n v="1"/>
    <n v="3500"/>
    <s v="East"/>
    <x v="98"/>
    <n v="3500"/>
  </r>
  <r>
    <s v="Mar-2024"/>
    <d v="2024-03-24T12:27:23"/>
    <s v="Mobile Cover"/>
    <n v="4"/>
    <n v="450"/>
    <s v="South"/>
    <x v="426"/>
    <n v="1800"/>
  </r>
  <r>
    <s v="Mar-2024"/>
    <d v="2024-03-25T00:08:39"/>
    <s v="Laptop Bag"/>
    <n v="3"/>
    <n v="1200"/>
    <s v="East"/>
    <x v="262"/>
    <n v="3600"/>
  </r>
  <r>
    <s v="Mar-2024"/>
    <d v="2024-03-25T11:49:55"/>
    <s v="Mobile Cover"/>
    <n v="1"/>
    <n v="3500"/>
    <s v="East"/>
    <x v="410"/>
    <n v="3500"/>
  </r>
  <r>
    <s v="Mar-2024"/>
    <d v="2024-03-25T23:31:11"/>
    <s v="Mobile Cover"/>
    <n v="1"/>
    <n v="1200"/>
    <s v="West"/>
    <x v="390"/>
    <n v="1200"/>
  </r>
  <r>
    <s v="Mar-2024"/>
    <d v="2024-03-26T11:12:27"/>
    <s v="Smart Watch"/>
    <n v="3"/>
    <n v="1800"/>
    <s v="North"/>
    <x v="38"/>
    <n v="5400"/>
  </r>
  <r>
    <s v="Mar-2024"/>
    <d v="2024-03-26T22:53:43"/>
    <s v="Smart Watch"/>
    <n v="6"/>
    <n v="3500"/>
    <s v="North"/>
    <x v="427"/>
    <n v="21000"/>
  </r>
  <r>
    <s v="Mar-2024"/>
    <d v="2024-03-27T10:34:59"/>
    <s v="Wireless Mouse"/>
    <n v="1"/>
    <n v="3500"/>
    <s v="North"/>
    <x v="380"/>
    <n v="3500"/>
  </r>
  <r>
    <s v="Mar-2024"/>
    <d v="2024-03-27T22:16:15"/>
    <s v="Headphones"/>
    <n v="4"/>
    <n v="1200"/>
    <s v="South"/>
    <x v="311"/>
    <n v="4800"/>
  </r>
  <r>
    <s v="Mar-2024"/>
    <d v="2024-03-28T09:57:31"/>
    <s v="Mobile Cover"/>
    <n v="5"/>
    <n v="1800"/>
    <s v="East"/>
    <x v="334"/>
    <n v="9000"/>
  </r>
  <r>
    <s v="Mar-2024"/>
    <d v="2024-03-28T21:38:47"/>
    <s v="Laptop Bag"/>
    <n v="1"/>
    <n v="700"/>
    <s v="North"/>
    <x v="428"/>
    <n v="700"/>
  </r>
  <r>
    <s v="Mar-2024"/>
    <d v="2024-03-29T09:20:03"/>
    <s v="Keyboard"/>
    <n v="4"/>
    <n v="450"/>
    <s v="West"/>
    <x v="425"/>
    <n v="1800"/>
  </r>
  <r>
    <s v="Mar-2024"/>
    <d v="2024-03-29T21:01:19"/>
    <s v="Mobile Cover"/>
    <n v="2"/>
    <n v="1200"/>
    <s v="North"/>
    <x v="250"/>
    <n v="2400"/>
  </r>
  <r>
    <s v="Mar-2024"/>
    <d v="2024-03-30T08:42:35"/>
    <s v="Mobile Cover"/>
    <n v="4"/>
    <n v="3500"/>
    <s v="North"/>
    <x v="231"/>
    <n v="14000"/>
  </r>
  <r>
    <s v="Mar-2024"/>
    <d v="2024-03-30T20:23:51"/>
    <s v="Wireless Mouse"/>
    <n v="5"/>
    <n v="450"/>
    <s v="East"/>
    <x v="169"/>
    <n v="2250"/>
  </r>
  <r>
    <s v="Mar-2024"/>
    <d v="2024-03-31T08:05:07"/>
    <s v="Headphones"/>
    <n v="4"/>
    <n v="450"/>
    <s v="East"/>
    <x v="412"/>
    <n v="1800"/>
  </r>
  <r>
    <s v="Mar-2024"/>
    <d v="2024-03-31T19:46:23"/>
    <s v="Keyboard"/>
    <n v="3"/>
    <n v="450"/>
    <s v="East"/>
    <x v="128"/>
    <n v="1350"/>
  </r>
  <r>
    <s v="Apr-2024"/>
    <d v="2024-04-01T07:27:40"/>
    <s v="Smart Watch"/>
    <n v="5"/>
    <n v="700"/>
    <s v="South"/>
    <x v="313"/>
    <n v="3500"/>
  </r>
  <r>
    <s v="Apr-2024"/>
    <d v="2024-04-01T19:08:56"/>
    <s v="Smart Watch"/>
    <n v="6"/>
    <n v="150"/>
    <s v="South"/>
    <x v="429"/>
    <n v="900"/>
  </r>
  <r>
    <s v="Apr-2024"/>
    <d v="2024-04-02T06:50:12"/>
    <s v="Laptop Bag"/>
    <n v="2"/>
    <n v="1200"/>
    <s v="North"/>
    <x v="103"/>
    <n v="2400"/>
  </r>
  <r>
    <s v="Apr-2024"/>
    <d v="2024-04-02T18:31:28"/>
    <s v="Keyboard"/>
    <n v="3"/>
    <n v="150"/>
    <s v="East"/>
    <x v="149"/>
    <n v="450"/>
  </r>
  <r>
    <s v="Apr-2024"/>
    <d v="2024-04-03T06:12:44"/>
    <s v="Smart Watch"/>
    <n v="6"/>
    <n v="150"/>
    <s v="North"/>
    <x v="153"/>
    <n v="900"/>
  </r>
  <r>
    <s v="Apr-2024"/>
    <d v="2024-04-03T17:54:00"/>
    <s v="Laptop Bag"/>
    <n v="4"/>
    <n v="150"/>
    <s v="West"/>
    <x v="421"/>
    <n v="600"/>
  </r>
  <r>
    <s v="Apr-2024"/>
    <d v="2024-04-04T05:35:16"/>
    <s v="Headphones"/>
    <n v="5"/>
    <n v="450"/>
    <s v="West"/>
    <x v="403"/>
    <n v="2250"/>
  </r>
  <r>
    <s v="Apr-2024"/>
    <d v="2024-04-04T17:16:32"/>
    <s v="Laptop Bag"/>
    <n v="2"/>
    <n v="1800"/>
    <s v="East"/>
    <x v="430"/>
    <n v="3600"/>
  </r>
  <r>
    <s v="Apr-2024"/>
    <d v="2024-04-05T04:57:48"/>
    <s v="Smart Watch"/>
    <n v="3"/>
    <n v="450"/>
    <s v="East"/>
    <x v="325"/>
    <n v="1350"/>
  </r>
  <r>
    <s v="Apr-2024"/>
    <d v="2024-04-05T16:39:04"/>
    <s v="Wireless Mouse"/>
    <n v="6"/>
    <n v="450"/>
    <s v="West"/>
    <x v="43"/>
    <n v="2700"/>
  </r>
  <r>
    <s v="Apr-2024"/>
    <d v="2024-04-06T04:20:20"/>
    <s v="Wireless Mouse"/>
    <n v="6"/>
    <n v="3500"/>
    <s v="East"/>
    <x v="15"/>
    <n v="21000"/>
  </r>
  <r>
    <s v="Apr-2024"/>
    <d v="2024-04-06T16:01:36"/>
    <s v="Wireless Mouse"/>
    <n v="2"/>
    <n v="3500"/>
    <s v="South"/>
    <x v="114"/>
    <n v="7000"/>
  </r>
  <r>
    <s v="Apr-2024"/>
    <d v="2024-04-07T03:42:52"/>
    <s v="Smart Watch"/>
    <n v="4"/>
    <n v="150"/>
    <s v="South"/>
    <x v="306"/>
    <n v="600"/>
  </r>
  <r>
    <s v="Apr-2024"/>
    <d v="2024-04-07T15:24:08"/>
    <s v="Wireless Mouse"/>
    <n v="2"/>
    <n v="450"/>
    <s v="East"/>
    <x v="225"/>
    <n v="900"/>
  </r>
  <r>
    <s v="Apr-2024"/>
    <d v="2024-04-08T03:05:24"/>
    <s v="Keyboard"/>
    <n v="6"/>
    <n v="150"/>
    <s v="West"/>
    <x v="125"/>
    <n v="900"/>
  </r>
  <r>
    <s v="Apr-2024"/>
    <d v="2024-04-08T14:46:40"/>
    <s v="Headphones"/>
    <n v="1"/>
    <n v="3500"/>
    <s v="North"/>
    <x v="431"/>
    <n v="3500"/>
  </r>
  <r>
    <s v="Apr-2024"/>
    <d v="2024-04-09T02:27:56"/>
    <s v="Laptop Bag"/>
    <n v="3"/>
    <n v="1800"/>
    <s v="East"/>
    <x v="192"/>
    <n v="5400"/>
  </r>
  <r>
    <s v="Apr-2024"/>
    <d v="2024-04-09T14:09:12"/>
    <s v="Laptop Bag"/>
    <n v="2"/>
    <n v="1200"/>
    <s v="East"/>
    <x v="189"/>
    <n v="2400"/>
  </r>
  <r>
    <s v="Apr-2024"/>
    <d v="2024-04-10T01:50:28"/>
    <s v="Smart Watch"/>
    <n v="6"/>
    <n v="150"/>
    <s v="North"/>
    <x v="265"/>
    <n v="900"/>
  </r>
  <r>
    <s v="Apr-2024"/>
    <d v="2024-04-10T13:31:44"/>
    <s v="Wireless Mouse"/>
    <n v="4"/>
    <n v="1800"/>
    <s v="East"/>
    <x v="360"/>
    <n v="7200"/>
  </r>
  <r>
    <s v="Apr-2024"/>
    <d v="2024-04-11T01:13:01"/>
    <s v="Wireless Mouse"/>
    <n v="6"/>
    <n v="1200"/>
    <s v="North"/>
    <x v="289"/>
    <n v="7200"/>
  </r>
  <r>
    <s v="Apr-2024"/>
    <d v="2024-04-11T12:54:17"/>
    <s v="Mobile Cover"/>
    <n v="4"/>
    <n v="700"/>
    <s v="West"/>
    <x v="23"/>
    <n v="2800"/>
  </r>
  <r>
    <s v="Apr-2024"/>
    <d v="2024-04-12T00:35:33"/>
    <s v="Headphones"/>
    <n v="2"/>
    <n v="150"/>
    <s v="South"/>
    <x v="194"/>
    <n v="300"/>
  </r>
  <r>
    <s v="Apr-2024"/>
    <d v="2024-04-12T12:16:49"/>
    <s v="Keyboard"/>
    <n v="4"/>
    <n v="150"/>
    <s v="West"/>
    <x v="253"/>
    <n v="600"/>
  </r>
  <r>
    <s v="Apr-2024"/>
    <d v="2024-04-12T23:58:05"/>
    <s v="Laptop Bag"/>
    <n v="5"/>
    <n v="700"/>
    <s v="South"/>
    <x v="43"/>
    <n v="3500"/>
  </r>
  <r>
    <s v="Apr-2024"/>
    <d v="2024-04-13T11:39:21"/>
    <s v="Mobile Cover"/>
    <n v="5"/>
    <n v="700"/>
    <s v="North"/>
    <x v="125"/>
    <n v="3500"/>
  </r>
  <r>
    <s v="Apr-2024"/>
    <d v="2024-04-13T23:20:37"/>
    <s v="Mobile Cover"/>
    <n v="5"/>
    <n v="150"/>
    <s v="South"/>
    <x v="391"/>
    <n v="750"/>
  </r>
  <r>
    <s v="Apr-2024"/>
    <d v="2024-04-14T11:01:53"/>
    <s v="Smart Watch"/>
    <n v="1"/>
    <n v="700"/>
    <s v="West"/>
    <x v="392"/>
    <n v="700"/>
  </r>
  <r>
    <s v="Apr-2024"/>
    <d v="2024-04-14T22:43:09"/>
    <s v="Laptop Bag"/>
    <n v="2"/>
    <n v="450"/>
    <s v="South"/>
    <x v="432"/>
    <n v="900"/>
  </r>
  <r>
    <s v="Apr-2024"/>
    <d v="2024-04-15T10:24:25"/>
    <s v="Smart Watch"/>
    <n v="6"/>
    <n v="1200"/>
    <s v="North"/>
    <x v="433"/>
    <n v="7200"/>
  </r>
  <r>
    <s v="Apr-2024"/>
    <d v="2024-04-15T22:05:41"/>
    <s v="Keyboard"/>
    <n v="6"/>
    <n v="1200"/>
    <s v="South"/>
    <x v="406"/>
    <n v="7200"/>
  </r>
  <r>
    <s v="Apr-2024"/>
    <d v="2024-04-16T09:46:57"/>
    <s v="Mobile Cover"/>
    <n v="1"/>
    <n v="1200"/>
    <s v="East"/>
    <x v="150"/>
    <n v="1200"/>
  </r>
  <r>
    <s v="Apr-2024"/>
    <d v="2024-04-16T21:28:13"/>
    <s v="Mobile Cover"/>
    <n v="4"/>
    <n v="450"/>
    <s v="West"/>
    <x v="198"/>
    <n v="1800"/>
  </r>
  <r>
    <s v="Apr-2024"/>
    <d v="2024-04-17T09:09:29"/>
    <s v="Headphones"/>
    <n v="1"/>
    <n v="700"/>
    <s v="East"/>
    <x v="131"/>
    <n v="700"/>
  </r>
  <r>
    <s v="Apr-2024"/>
    <d v="2024-04-17T20:50:45"/>
    <s v="Keyboard"/>
    <n v="4"/>
    <n v="1800"/>
    <s v="North"/>
    <x v="434"/>
    <n v="7200"/>
  </r>
  <r>
    <s v="Apr-2024"/>
    <d v="2024-04-18T08:32:01"/>
    <s v="Mobile Cover"/>
    <n v="4"/>
    <n v="700"/>
    <s v="South"/>
    <x v="385"/>
    <n v="2800"/>
  </r>
  <r>
    <s v="Apr-2024"/>
    <d v="2024-04-18T20:13:17"/>
    <s v="Keyboard"/>
    <n v="3"/>
    <n v="150"/>
    <s v="East"/>
    <x v="22"/>
    <n v="450"/>
  </r>
  <r>
    <s v="Apr-2024"/>
    <d v="2024-04-19T07:54:33"/>
    <s v="Laptop Bag"/>
    <n v="6"/>
    <n v="3500"/>
    <s v="East"/>
    <x v="301"/>
    <n v="21000"/>
  </r>
  <r>
    <s v="Apr-2024"/>
    <d v="2024-04-19T19:35:49"/>
    <s v="Wireless Mouse"/>
    <n v="5"/>
    <n v="1200"/>
    <s v="South"/>
    <x v="85"/>
    <n v="6000"/>
  </r>
  <r>
    <s v="Apr-2024"/>
    <d v="2024-04-20T07:17:05"/>
    <s v="Mobile Cover"/>
    <n v="4"/>
    <n v="700"/>
    <s v="South"/>
    <x v="248"/>
    <n v="2800"/>
  </r>
  <r>
    <s v="Apr-2024"/>
    <d v="2024-04-20T18:58:22"/>
    <s v="Headphones"/>
    <n v="3"/>
    <n v="1800"/>
    <s v="West"/>
    <x v="346"/>
    <n v="5400"/>
  </r>
  <r>
    <s v="Apr-2024"/>
    <d v="2024-04-21T06:39:38"/>
    <s v="Laptop Bag"/>
    <n v="6"/>
    <n v="150"/>
    <s v="East"/>
    <x v="334"/>
    <n v="900"/>
  </r>
  <r>
    <s v="Apr-2024"/>
    <d v="2024-04-21T18:20:54"/>
    <s v="Keyboard"/>
    <n v="5"/>
    <n v="450"/>
    <s v="East"/>
    <x v="41"/>
    <n v="2250"/>
  </r>
  <r>
    <s v="Apr-2024"/>
    <d v="2024-04-22T06:02:10"/>
    <s v="Smart Watch"/>
    <n v="4"/>
    <n v="450"/>
    <s v="North"/>
    <x v="195"/>
    <n v="1800"/>
  </r>
  <r>
    <s v="Apr-2024"/>
    <d v="2024-04-22T17:43:26"/>
    <s v="Laptop Bag"/>
    <n v="4"/>
    <n v="1800"/>
    <s v="West"/>
    <x v="320"/>
    <n v="7200"/>
  </r>
  <r>
    <s v="Apr-2024"/>
    <d v="2024-04-23T05:24:42"/>
    <s v="Mobile Cover"/>
    <n v="1"/>
    <n v="150"/>
    <s v="North"/>
    <x v="84"/>
    <n v="150"/>
  </r>
  <r>
    <s v="Apr-2024"/>
    <d v="2024-04-23T17:05:58"/>
    <s v="Keyboard"/>
    <n v="1"/>
    <n v="1200"/>
    <s v="East"/>
    <x v="245"/>
    <n v="1200"/>
  </r>
  <r>
    <s v="Apr-2024"/>
    <d v="2024-04-24T04:47:14"/>
    <s v="Wireless Mouse"/>
    <n v="6"/>
    <n v="700"/>
    <s v="North"/>
    <x v="381"/>
    <n v="4200"/>
  </r>
  <r>
    <s v="Apr-2024"/>
    <d v="2024-04-24T16:28:30"/>
    <s v="Laptop Bag"/>
    <n v="5"/>
    <n v="150"/>
    <s v="East"/>
    <x v="8"/>
    <n v="750"/>
  </r>
  <r>
    <s v="Apr-2024"/>
    <d v="2024-04-25T04:09:46"/>
    <s v="Mobile Cover"/>
    <n v="4"/>
    <n v="450"/>
    <s v="East"/>
    <x v="141"/>
    <n v="1800"/>
  </r>
  <r>
    <s v="Apr-2024"/>
    <d v="2024-04-25T15:51:02"/>
    <s v="Headphones"/>
    <n v="6"/>
    <n v="1800"/>
    <s v="North"/>
    <x v="215"/>
    <n v="10800"/>
  </r>
  <r>
    <s v="Apr-2024"/>
    <d v="2024-04-26T03:32:18"/>
    <s v="Smart Watch"/>
    <n v="6"/>
    <n v="1800"/>
    <s v="North"/>
    <x v="2"/>
    <n v="10800"/>
  </r>
  <r>
    <s v="Apr-2024"/>
    <d v="2024-04-26T15:13:34"/>
    <s v="Keyboard"/>
    <n v="2"/>
    <n v="700"/>
    <s v="South"/>
    <x v="435"/>
    <n v="1400"/>
  </r>
  <r>
    <s v="Apr-2024"/>
    <d v="2024-04-27T02:54:50"/>
    <s v="Laptop Bag"/>
    <n v="1"/>
    <n v="1800"/>
    <s v="South"/>
    <x v="436"/>
    <n v="1800"/>
  </r>
  <r>
    <s v="Apr-2024"/>
    <d v="2024-04-27T14:36:06"/>
    <s v="Laptop Bag"/>
    <n v="5"/>
    <n v="1800"/>
    <s v="South"/>
    <x v="120"/>
    <n v="9000"/>
  </r>
  <r>
    <s v="Apr-2024"/>
    <d v="2024-04-28T02:17:22"/>
    <s v="Wireless Mouse"/>
    <n v="4"/>
    <n v="150"/>
    <s v="East"/>
    <x v="149"/>
    <n v="600"/>
  </r>
  <r>
    <s v="Apr-2024"/>
    <d v="2024-04-28T13:58:38"/>
    <s v="Wireless Mouse"/>
    <n v="6"/>
    <n v="1200"/>
    <s v="North"/>
    <x v="348"/>
    <n v="7200"/>
  </r>
  <r>
    <s v="Apr-2024"/>
    <d v="2024-04-29T01:39:54"/>
    <s v="Headphones"/>
    <n v="4"/>
    <n v="700"/>
    <s v="West"/>
    <x v="314"/>
    <n v="2800"/>
  </r>
  <r>
    <s v="Apr-2024"/>
    <d v="2024-04-29T13:21:10"/>
    <s v="Smart Watch"/>
    <n v="2"/>
    <n v="150"/>
    <s v="East"/>
    <x v="263"/>
    <n v="300"/>
  </r>
  <r>
    <s v="Apr-2024"/>
    <d v="2024-04-30T01:02:26"/>
    <s v="Headphones"/>
    <n v="5"/>
    <n v="1200"/>
    <s v="West"/>
    <x v="319"/>
    <n v="6000"/>
  </r>
  <r>
    <s v="Apr-2024"/>
    <d v="2024-04-30T12:43:43"/>
    <s v="Mobile Cover"/>
    <n v="6"/>
    <n v="150"/>
    <s v="North"/>
    <x v="131"/>
    <n v="900"/>
  </r>
  <r>
    <s v="May-2024"/>
    <d v="2024-05-01T00:24:59"/>
    <s v="Mobile Cover"/>
    <n v="4"/>
    <n v="3500"/>
    <s v="East"/>
    <x v="396"/>
    <n v="14000"/>
  </r>
  <r>
    <s v="May-2024"/>
    <d v="2024-05-01T12:06:15"/>
    <s v="Headphones"/>
    <n v="1"/>
    <n v="150"/>
    <s v="West"/>
    <x v="212"/>
    <n v="150"/>
  </r>
  <r>
    <s v="May-2024"/>
    <d v="2024-05-01T23:47:31"/>
    <s v="Smart Watch"/>
    <n v="2"/>
    <n v="1800"/>
    <s v="West"/>
    <x v="223"/>
    <n v="3600"/>
  </r>
  <r>
    <s v="May-2024"/>
    <d v="2024-05-02T11:28:47"/>
    <s v="Headphones"/>
    <n v="5"/>
    <n v="1200"/>
    <s v="South"/>
    <x v="414"/>
    <n v="6000"/>
  </r>
  <r>
    <s v="May-2024"/>
    <d v="2024-05-02T23:10:03"/>
    <s v="Smart Watch"/>
    <n v="2"/>
    <n v="700"/>
    <s v="South"/>
    <x v="376"/>
    <n v="1400"/>
  </r>
  <r>
    <s v="May-2024"/>
    <d v="2024-05-03T10:51:19"/>
    <s v="Smart Watch"/>
    <n v="1"/>
    <n v="700"/>
    <s v="South"/>
    <x v="434"/>
    <n v="700"/>
  </r>
  <r>
    <s v="May-2024"/>
    <d v="2024-05-03T22:32:35"/>
    <s v="Keyboard"/>
    <n v="5"/>
    <n v="1200"/>
    <s v="East"/>
    <x v="121"/>
    <n v="6000"/>
  </r>
  <r>
    <s v="May-2024"/>
    <d v="2024-05-04T10:13:51"/>
    <s v="Smart Watch"/>
    <n v="2"/>
    <n v="1800"/>
    <s v="North"/>
    <x v="88"/>
    <n v="3600"/>
  </r>
  <r>
    <s v="May-2024"/>
    <d v="2024-05-04T21:55:07"/>
    <s v="Wireless Mouse"/>
    <n v="3"/>
    <n v="450"/>
    <s v="North"/>
    <x v="63"/>
    <n v="1350"/>
  </r>
  <r>
    <s v="May-2024"/>
    <d v="2024-05-05T09:36:23"/>
    <s v="Smart Watch"/>
    <n v="1"/>
    <n v="150"/>
    <s v="South"/>
    <x v="346"/>
    <n v="150"/>
  </r>
  <r>
    <s v="May-2024"/>
    <d v="2024-05-05T21:17:39"/>
    <s v="Smart Watch"/>
    <n v="1"/>
    <n v="1800"/>
    <s v="South"/>
    <x v="437"/>
    <n v="1800"/>
  </r>
  <r>
    <s v="May-2024"/>
    <d v="2024-05-06T08:58:55"/>
    <s v="Smart Watch"/>
    <n v="1"/>
    <n v="3500"/>
    <s v="South"/>
    <x v="438"/>
    <n v="3500"/>
  </r>
  <r>
    <s v="May-2024"/>
    <d v="2024-05-06T20:40:11"/>
    <s v="Mobile Cover"/>
    <n v="3"/>
    <n v="1200"/>
    <s v="West"/>
    <x v="222"/>
    <n v="3600"/>
  </r>
  <r>
    <s v="May-2024"/>
    <d v="2024-05-07T08:21:27"/>
    <s v="Wireless Mouse"/>
    <n v="3"/>
    <n v="150"/>
    <s v="South"/>
    <x v="407"/>
    <n v="450"/>
  </r>
  <r>
    <s v="May-2024"/>
    <d v="2024-05-07T20:02:43"/>
    <s v="Wireless Mouse"/>
    <n v="4"/>
    <n v="700"/>
    <s v="West"/>
    <x v="439"/>
    <n v="2800"/>
  </r>
  <r>
    <s v="May-2024"/>
    <d v="2024-05-08T07:43:59"/>
    <s v="Headphones"/>
    <n v="6"/>
    <n v="450"/>
    <s v="North"/>
    <x v="372"/>
    <n v="2700"/>
  </r>
  <r>
    <s v="May-2024"/>
    <d v="2024-05-08T19:25:15"/>
    <s v="Keyboard"/>
    <n v="2"/>
    <n v="3500"/>
    <s v="East"/>
    <x v="17"/>
    <n v="7000"/>
  </r>
  <r>
    <s v="May-2024"/>
    <d v="2024-05-09T07:06:31"/>
    <s v="Smart Watch"/>
    <n v="4"/>
    <n v="700"/>
    <s v="East"/>
    <x v="93"/>
    <n v="2800"/>
  </r>
  <r>
    <s v="May-2024"/>
    <d v="2024-05-09T18:47:48"/>
    <s v="Laptop Bag"/>
    <n v="2"/>
    <n v="1200"/>
    <s v="East"/>
    <x v="180"/>
    <n v="2400"/>
  </r>
  <r>
    <s v="May-2024"/>
    <d v="2024-05-10T06:29:04"/>
    <s v="Keyboard"/>
    <n v="6"/>
    <n v="150"/>
    <s v="East"/>
    <x v="71"/>
    <n v="900"/>
  </r>
  <r>
    <s v="May-2024"/>
    <d v="2024-05-10T18:10:20"/>
    <s v="Keyboard"/>
    <n v="3"/>
    <n v="1200"/>
    <s v="West"/>
    <x v="139"/>
    <n v="3600"/>
  </r>
  <r>
    <s v="May-2024"/>
    <d v="2024-05-11T05:51:36"/>
    <s v="Wireless Mouse"/>
    <n v="6"/>
    <n v="150"/>
    <s v="West"/>
    <x v="36"/>
    <n v="900"/>
  </r>
  <r>
    <s v="May-2024"/>
    <d v="2024-05-11T17:32:52"/>
    <s v="Keyboard"/>
    <n v="3"/>
    <n v="1800"/>
    <s v="South"/>
    <x v="308"/>
    <n v="5400"/>
  </r>
  <r>
    <s v="May-2024"/>
    <d v="2024-05-12T05:14:08"/>
    <s v="Smart Watch"/>
    <n v="6"/>
    <n v="450"/>
    <s v="West"/>
    <x v="313"/>
    <n v="2700"/>
  </r>
  <r>
    <s v="May-2024"/>
    <d v="2024-05-12T16:55:24"/>
    <s v="Smart Watch"/>
    <n v="4"/>
    <n v="1800"/>
    <s v="South"/>
    <x v="79"/>
    <n v="7200"/>
  </r>
  <r>
    <s v="May-2024"/>
    <d v="2024-05-13T04:36:40"/>
    <s v="Mobile Cover"/>
    <n v="5"/>
    <n v="1800"/>
    <s v="South"/>
    <x v="36"/>
    <n v="9000"/>
  </r>
  <r>
    <s v="May-2024"/>
    <d v="2024-05-13T16:17:56"/>
    <s v="Smart Watch"/>
    <n v="4"/>
    <n v="1200"/>
    <s v="East"/>
    <x v="380"/>
    <n v="4800"/>
  </r>
  <r>
    <s v="May-2024"/>
    <d v="2024-05-14T03:59:12"/>
    <s v="Smart Watch"/>
    <n v="2"/>
    <n v="450"/>
    <s v="West"/>
    <x v="357"/>
    <n v="900"/>
  </r>
  <r>
    <s v="May-2024"/>
    <d v="2024-05-14T15:40:28"/>
    <s v="Wireless Mouse"/>
    <n v="4"/>
    <n v="150"/>
    <s v="West"/>
    <x v="378"/>
    <n v="600"/>
  </r>
  <r>
    <s v="May-2024"/>
    <d v="2024-05-15T03:21:44"/>
    <s v="Smart Watch"/>
    <n v="1"/>
    <n v="150"/>
    <s v="South"/>
    <x v="188"/>
    <n v="150"/>
  </r>
  <r>
    <s v="May-2024"/>
    <d v="2024-05-15T15:03:00"/>
    <s v="Mobile Cover"/>
    <n v="2"/>
    <n v="3500"/>
    <s v="South"/>
    <x v="440"/>
    <n v="7000"/>
  </r>
  <r>
    <s v="May-2024"/>
    <d v="2024-05-16T02:44:16"/>
    <s v="Laptop Bag"/>
    <n v="6"/>
    <n v="700"/>
    <s v="North"/>
    <x v="88"/>
    <n v="4200"/>
  </r>
  <r>
    <s v="May-2024"/>
    <d v="2024-05-16T14:25:32"/>
    <s v="Wireless Mouse"/>
    <n v="2"/>
    <n v="3500"/>
    <s v="North"/>
    <x v="210"/>
    <n v="7000"/>
  </r>
  <r>
    <s v="May-2024"/>
    <d v="2024-05-17T02:06:48"/>
    <s v="Laptop Bag"/>
    <n v="5"/>
    <n v="3500"/>
    <s v="South"/>
    <x v="301"/>
    <n v="17500"/>
  </r>
  <r>
    <s v="May-2024"/>
    <d v="2024-05-17T13:48:04"/>
    <s v="Wireless Mouse"/>
    <n v="3"/>
    <n v="150"/>
    <s v="North"/>
    <x v="377"/>
    <n v="450"/>
  </r>
  <r>
    <s v="May-2024"/>
    <d v="2024-05-18T01:29:20"/>
    <s v="Headphones"/>
    <n v="6"/>
    <n v="1200"/>
    <s v="North"/>
    <x v="140"/>
    <n v="7200"/>
  </r>
  <r>
    <s v="May-2024"/>
    <d v="2024-05-18T13:10:36"/>
    <s v="Keyboard"/>
    <n v="2"/>
    <n v="1800"/>
    <s v="South"/>
    <x v="441"/>
    <n v="3600"/>
  </r>
  <r>
    <s v="May-2024"/>
    <d v="2024-05-19T00:51:52"/>
    <s v="Headphones"/>
    <n v="6"/>
    <n v="1800"/>
    <s v="South"/>
    <x v="287"/>
    <n v="10800"/>
  </r>
  <r>
    <s v="May-2024"/>
    <d v="2024-05-19T12:33:09"/>
    <s v="Smart Watch"/>
    <n v="6"/>
    <n v="1800"/>
    <s v="West"/>
    <x v="174"/>
    <n v="10800"/>
  </r>
  <r>
    <s v="May-2024"/>
    <d v="2024-05-20T00:14:25"/>
    <s v="Laptop Bag"/>
    <n v="6"/>
    <n v="450"/>
    <s v="South"/>
    <x v="282"/>
    <n v="2700"/>
  </r>
  <r>
    <s v="May-2024"/>
    <d v="2024-05-20T11:55:41"/>
    <s v="Smart Watch"/>
    <n v="3"/>
    <n v="150"/>
    <s v="South"/>
    <x v="442"/>
    <n v="450"/>
  </r>
  <r>
    <s v="May-2024"/>
    <d v="2024-05-20T23:36:57"/>
    <s v="Keyboard"/>
    <n v="4"/>
    <n v="1200"/>
    <s v="East"/>
    <x v="443"/>
    <n v="4800"/>
  </r>
  <r>
    <s v="May-2024"/>
    <d v="2024-05-21T11:18:13"/>
    <s v="Wireless Mouse"/>
    <n v="6"/>
    <n v="450"/>
    <s v="West"/>
    <x v="444"/>
    <n v="2700"/>
  </r>
  <r>
    <s v="May-2024"/>
    <d v="2024-05-21T22:59:29"/>
    <s v="Keyboard"/>
    <n v="1"/>
    <n v="700"/>
    <s v="West"/>
    <x v="24"/>
    <n v="700"/>
  </r>
  <r>
    <s v="May-2024"/>
    <d v="2024-05-22T10:40:45"/>
    <s v="Mobile Cover"/>
    <n v="5"/>
    <n v="1200"/>
    <s v="West"/>
    <x v="241"/>
    <n v="6000"/>
  </r>
  <r>
    <s v="May-2024"/>
    <d v="2024-05-22T22:22:01"/>
    <s v="Keyboard"/>
    <n v="3"/>
    <n v="3500"/>
    <s v="East"/>
    <x v="192"/>
    <n v="10500"/>
  </r>
  <r>
    <s v="May-2024"/>
    <d v="2024-05-23T10:03:17"/>
    <s v="Mobile Cover"/>
    <n v="2"/>
    <n v="1200"/>
    <s v="South"/>
    <x v="414"/>
    <n v="2400"/>
  </r>
  <r>
    <s v="May-2024"/>
    <d v="2024-05-23T21:44:33"/>
    <s v="Keyboard"/>
    <n v="3"/>
    <n v="1200"/>
    <s v="West"/>
    <x v="308"/>
    <n v="3600"/>
  </r>
  <r>
    <s v="May-2024"/>
    <d v="2024-05-24T09:25:49"/>
    <s v="Mobile Cover"/>
    <n v="2"/>
    <n v="1800"/>
    <s v="West"/>
    <x v="422"/>
    <n v="3600"/>
  </r>
  <r>
    <s v="May-2024"/>
    <d v="2024-05-24T21:07:05"/>
    <s v="Laptop Bag"/>
    <n v="3"/>
    <n v="1200"/>
    <s v="North"/>
    <x v="268"/>
    <n v="3600"/>
  </r>
  <r>
    <s v="May-2024"/>
    <d v="2024-05-25T08:48:21"/>
    <s v="Smart Watch"/>
    <n v="2"/>
    <n v="3500"/>
    <s v="West"/>
    <x v="411"/>
    <n v="7000"/>
  </r>
  <r>
    <s v="May-2024"/>
    <d v="2024-05-25T20:29:37"/>
    <s v="Smart Watch"/>
    <n v="6"/>
    <n v="3500"/>
    <s v="South"/>
    <x v="217"/>
    <n v="21000"/>
  </r>
  <r>
    <s v="May-2024"/>
    <d v="2024-05-26T08:10:53"/>
    <s v="Headphones"/>
    <n v="4"/>
    <n v="150"/>
    <s v="South"/>
    <x v="278"/>
    <n v="600"/>
  </r>
  <r>
    <s v="May-2024"/>
    <d v="2024-05-26T19:52:09"/>
    <s v="Smart Watch"/>
    <n v="2"/>
    <n v="1200"/>
    <s v="North"/>
    <x v="296"/>
    <n v="2400"/>
  </r>
  <r>
    <s v="May-2024"/>
    <d v="2024-05-27T07:33:25"/>
    <s v="Wireless Mouse"/>
    <n v="2"/>
    <n v="1800"/>
    <s v="West"/>
    <x v="445"/>
    <n v="3600"/>
  </r>
  <r>
    <s v="May-2024"/>
    <d v="2024-05-27T19:14:41"/>
    <s v="Keyboard"/>
    <n v="1"/>
    <n v="1200"/>
    <s v="West"/>
    <x v="243"/>
    <n v="1200"/>
  </r>
  <r>
    <s v="May-2024"/>
    <d v="2024-05-28T06:55:57"/>
    <s v="Headphones"/>
    <n v="2"/>
    <n v="700"/>
    <s v="West"/>
    <x v="377"/>
    <n v="1400"/>
  </r>
  <r>
    <s v="May-2024"/>
    <d v="2024-05-28T18:37:13"/>
    <s v="Wireless Mouse"/>
    <n v="1"/>
    <n v="700"/>
    <s v="East"/>
    <x v="167"/>
    <n v="700"/>
  </r>
  <r>
    <s v="May-2024"/>
    <d v="2024-05-29T06:18:30"/>
    <s v="Wireless Mouse"/>
    <n v="5"/>
    <n v="1800"/>
    <s v="West"/>
    <x v="107"/>
    <n v="9000"/>
  </r>
  <r>
    <s v="May-2024"/>
    <d v="2024-05-29T17:59:46"/>
    <s v="Mobile Cover"/>
    <n v="6"/>
    <n v="150"/>
    <s v="South"/>
    <x v="17"/>
    <n v="900"/>
  </r>
  <r>
    <s v="May-2024"/>
    <d v="2024-05-30T05:41:02"/>
    <s v="Smart Watch"/>
    <n v="1"/>
    <n v="150"/>
    <s v="South"/>
    <x v="3"/>
    <n v="150"/>
  </r>
  <r>
    <s v="May-2024"/>
    <d v="2024-05-30T17:22:18"/>
    <s v="Laptop Bag"/>
    <n v="4"/>
    <n v="3500"/>
    <s v="East"/>
    <x v="329"/>
    <n v="14000"/>
  </r>
  <r>
    <s v="May-2024"/>
    <d v="2024-05-31T05:03:34"/>
    <s v="Laptop Bag"/>
    <n v="6"/>
    <n v="3500"/>
    <s v="East"/>
    <x v="256"/>
    <n v="21000"/>
  </r>
  <r>
    <s v="May-2024"/>
    <d v="2024-05-31T16:44:50"/>
    <s v="Headphones"/>
    <n v="1"/>
    <n v="450"/>
    <s v="West"/>
    <x v="250"/>
    <n v="450"/>
  </r>
  <r>
    <s v="Jun-2024"/>
    <d v="2024-06-01T04:26:06"/>
    <s v="Laptop Bag"/>
    <n v="6"/>
    <n v="1800"/>
    <s v="North"/>
    <x v="318"/>
    <n v="10800"/>
  </r>
  <r>
    <s v="Jun-2024"/>
    <d v="2024-06-01T16:07:22"/>
    <s v="Keyboard"/>
    <n v="6"/>
    <n v="1200"/>
    <s v="East"/>
    <x v="398"/>
    <n v="7200"/>
  </r>
  <r>
    <s v="Jun-2024"/>
    <d v="2024-06-02T03:48:38"/>
    <s v="Laptop Bag"/>
    <n v="6"/>
    <n v="1800"/>
    <s v="East"/>
    <x v="190"/>
    <n v="10800"/>
  </r>
  <r>
    <s v="Jun-2024"/>
    <d v="2024-06-02T15:29:54"/>
    <s v="Headphones"/>
    <n v="5"/>
    <n v="450"/>
    <s v="West"/>
    <x v="392"/>
    <n v="2250"/>
  </r>
  <r>
    <s v="Jun-2024"/>
    <d v="2024-06-03T03:11:10"/>
    <s v="Laptop Bag"/>
    <n v="4"/>
    <n v="3500"/>
    <s v="West"/>
    <x v="121"/>
    <n v="14000"/>
  </r>
  <r>
    <s v="Jun-2024"/>
    <d v="2024-06-03T14:52:26"/>
    <s v="Keyboard"/>
    <n v="3"/>
    <n v="1800"/>
    <s v="East"/>
    <x v="257"/>
    <n v="5400"/>
  </r>
  <r>
    <s v="Jun-2024"/>
    <d v="2024-06-04T02:33:42"/>
    <s v="Mobile Cover"/>
    <n v="3"/>
    <n v="1800"/>
    <s v="North"/>
    <x v="285"/>
    <n v="5400"/>
  </r>
  <r>
    <s v="Jun-2024"/>
    <d v="2024-06-04T14:14:58"/>
    <s v="Headphones"/>
    <n v="1"/>
    <n v="3500"/>
    <s v="East"/>
    <x v="55"/>
    <n v="3500"/>
  </r>
  <r>
    <s v="Jun-2024"/>
    <d v="2024-06-05T01:56:14"/>
    <s v="Mobile Cover"/>
    <n v="6"/>
    <n v="450"/>
    <s v="West"/>
    <x v="303"/>
    <n v="2700"/>
  </r>
  <r>
    <s v="Jun-2024"/>
    <d v="2024-06-05T13:37:30"/>
    <s v="Mobile Cover"/>
    <n v="1"/>
    <n v="3500"/>
    <s v="West"/>
    <x v="70"/>
    <n v="3500"/>
  </r>
  <r>
    <s v="Jun-2024"/>
    <d v="2024-06-06T01:18:46"/>
    <s v="Mobile Cover"/>
    <n v="5"/>
    <n v="150"/>
    <s v="East"/>
    <x v="446"/>
    <n v="750"/>
  </r>
  <r>
    <s v="Jun-2024"/>
    <d v="2024-06-06T13:00:02"/>
    <s v="Wireless Mouse"/>
    <n v="5"/>
    <n v="1200"/>
    <s v="North"/>
    <x v="20"/>
    <n v="6000"/>
  </r>
  <r>
    <s v="Jun-2024"/>
    <d v="2024-06-07T00:41:18"/>
    <s v="Smart Watch"/>
    <n v="2"/>
    <n v="3500"/>
    <s v="East"/>
    <x v="447"/>
    <n v="7000"/>
  </r>
  <r>
    <s v="Jun-2024"/>
    <d v="2024-06-07T12:22:35"/>
    <s v="Wireless Mouse"/>
    <n v="5"/>
    <n v="450"/>
    <s v="East"/>
    <x v="65"/>
    <n v="2250"/>
  </r>
  <r>
    <s v="Jun-2024"/>
    <d v="2024-06-08T00:03:51"/>
    <s v="Smart Watch"/>
    <n v="2"/>
    <n v="700"/>
    <s v="West"/>
    <x v="190"/>
    <n v="1400"/>
  </r>
  <r>
    <s v="Jun-2024"/>
    <d v="2024-06-08T11:45:07"/>
    <s v="Mobile Cover"/>
    <n v="4"/>
    <n v="150"/>
    <s v="North"/>
    <x v="37"/>
    <n v="600"/>
  </r>
  <r>
    <s v="Jun-2024"/>
    <d v="2024-06-08T23:26:23"/>
    <s v="Headphones"/>
    <n v="1"/>
    <n v="700"/>
    <s v="South"/>
    <x v="440"/>
    <n v="700"/>
  </r>
  <r>
    <s v="Jun-2024"/>
    <d v="2024-06-09T11:07:39"/>
    <s v="Smart Watch"/>
    <n v="4"/>
    <n v="3500"/>
    <s v="North"/>
    <x v="151"/>
    <n v="14000"/>
  </r>
  <r>
    <s v="Jun-2024"/>
    <d v="2024-06-09T22:48:55"/>
    <s v="Keyboard"/>
    <n v="5"/>
    <n v="150"/>
    <s v="East"/>
    <x v="171"/>
    <n v="750"/>
  </r>
  <r>
    <s v="Jun-2024"/>
    <d v="2024-06-10T10:30:11"/>
    <s v="Keyboard"/>
    <n v="4"/>
    <n v="1200"/>
    <s v="East"/>
    <x v="9"/>
    <n v="4800"/>
  </r>
  <r>
    <s v="Jun-2024"/>
    <d v="2024-06-10T22:11:27"/>
    <s v="Laptop Bag"/>
    <n v="4"/>
    <n v="3500"/>
    <s v="East"/>
    <x v="113"/>
    <n v="14000"/>
  </r>
  <r>
    <s v="Jun-2024"/>
    <d v="2024-06-11T09:52:43"/>
    <s v="Smart Watch"/>
    <n v="4"/>
    <n v="1200"/>
    <s v="North"/>
    <x v="408"/>
    <n v="4800"/>
  </r>
  <r>
    <s v="Jun-2024"/>
    <d v="2024-06-11T21:33:59"/>
    <s v="Headphones"/>
    <n v="5"/>
    <n v="1800"/>
    <s v="West"/>
    <x v="448"/>
    <n v="9000"/>
  </r>
  <r>
    <s v="Jun-2024"/>
    <d v="2024-06-12T09:15:15"/>
    <s v="Wireless Mouse"/>
    <n v="6"/>
    <n v="700"/>
    <s v="East"/>
    <x v="110"/>
    <n v="4200"/>
  </r>
  <r>
    <s v="Jun-2024"/>
    <d v="2024-06-12T20:56:31"/>
    <s v="Mobile Cover"/>
    <n v="4"/>
    <n v="150"/>
    <s v="East"/>
    <x v="313"/>
    <n v="600"/>
  </r>
  <r>
    <s v="Jun-2024"/>
    <d v="2024-06-13T08:37:47"/>
    <s v="Laptop Bag"/>
    <n v="2"/>
    <n v="1200"/>
    <s v="North"/>
    <x v="200"/>
    <n v="2400"/>
  </r>
  <r>
    <s v="Jun-2024"/>
    <d v="2024-06-13T20:19:03"/>
    <s v="Keyboard"/>
    <n v="5"/>
    <n v="450"/>
    <s v="South"/>
    <x v="172"/>
    <n v="2250"/>
  </r>
  <r>
    <s v="Jun-2024"/>
    <d v="2024-06-14T08:00:19"/>
    <s v="Wireless Mouse"/>
    <n v="4"/>
    <n v="1200"/>
    <s v="South"/>
    <x v="139"/>
    <n v="4800"/>
  </r>
  <r>
    <s v="Jun-2024"/>
    <d v="2024-06-14T19:41:35"/>
    <s v="Wireless Mouse"/>
    <n v="6"/>
    <n v="450"/>
    <s v="West"/>
    <x v="375"/>
    <n v="2700"/>
  </r>
  <r>
    <s v="Jun-2024"/>
    <d v="2024-06-15T07:22:51"/>
    <s v="Mobile Cover"/>
    <n v="5"/>
    <n v="3500"/>
    <s v="West"/>
    <x v="245"/>
    <n v="17500"/>
  </r>
  <r>
    <s v="Jun-2024"/>
    <d v="2024-06-15T19:04:07"/>
    <s v="Smart Watch"/>
    <n v="3"/>
    <n v="150"/>
    <s v="East"/>
    <x v="425"/>
    <n v="450"/>
  </r>
  <r>
    <s v="Jun-2024"/>
    <d v="2024-06-16T06:45:23"/>
    <s v="Keyboard"/>
    <n v="6"/>
    <n v="1200"/>
    <s v="North"/>
    <x v="449"/>
    <n v="7200"/>
  </r>
  <r>
    <s v="Jun-2024"/>
    <d v="2024-06-16T18:26:39"/>
    <s v="Headphones"/>
    <n v="2"/>
    <n v="1200"/>
    <s v="East"/>
    <x v="423"/>
    <n v="2400"/>
  </r>
  <r>
    <s v="Jun-2024"/>
    <d v="2024-06-17T06:07:56"/>
    <s v="Wireless Mouse"/>
    <n v="4"/>
    <n v="150"/>
    <s v="West"/>
    <x v="450"/>
    <n v="600"/>
  </r>
  <r>
    <s v="Jun-2024"/>
    <d v="2024-06-17T17:49:12"/>
    <s v="Mobile Cover"/>
    <n v="3"/>
    <n v="1200"/>
    <s v="North"/>
    <x v="451"/>
    <n v="3600"/>
  </r>
  <r>
    <s v="Jun-2024"/>
    <d v="2024-06-18T05:30:28"/>
    <s v="Headphones"/>
    <n v="3"/>
    <n v="450"/>
    <s v="North"/>
    <x v="421"/>
    <n v="1350"/>
  </r>
  <r>
    <s v="Jun-2024"/>
    <d v="2024-06-18T17:11:44"/>
    <s v="Smart Watch"/>
    <n v="5"/>
    <n v="1200"/>
    <s v="West"/>
    <x v="128"/>
    <n v="6000"/>
  </r>
  <r>
    <s v="Jun-2024"/>
    <d v="2024-06-19T04:53:00"/>
    <s v="Keyboard"/>
    <n v="3"/>
    <n v="700"/>
    <s v="South"/>
    <x v="191"/>
    <n v="2100"/>
  </r>
  <r>
    <s v="Jun-2024"/>
    <d v="2024-06-19T16:34:16"/>
    <s v="Smart Watch"/>
    <n v="2"/>
    <n v="3500"/>
    <s v="South"/>
    <x v="255"/>
    <n v="7000"/>
  </r>
  <r>
    <s v="Jun-2024"/>
    <d v="2024-06-20T04:15:32"/>
    <s v="Wireless Mouse"/>
    <n v="2"/>
    <n v="1800"/>
    <s v="North"/>
    <x v="266"/>
    <n v="3600"/>
  </r>
  <r>
    <s v="Jun-2024"/>
    <d v="2024-06-20T15:56:48"/>
    <s v="Headphones"/>
    <n v="1"/>
    <n v="450"/>
    <s v="East"/>
    <x v="64"/>
    <n v="450"/>
  </r>
  <r>
    <s v="Jun-2024"/>
    <d v="2024-06-21T03:38:04"/>
    <s v="Headphones"/>
    <n v="2"/>
    <n v="700"/>
    <s v="South"/>
    <x v="346"/>
    <n v="1400"/>
  </r>
  <r>
    <s v="Jun-2024"/>
    <d v="2024-06-21T15:19:20"/>
    <s v="Headphones"/>
    <n v="6"/>
    <n v="3500"/>
    <s v="East"/>
    <x v="419"/>
    <n v="21000"/>
  </r>
  <r>
    <s v="Jun-2024"/>
    <d v="2024-06-22T03:00:36"/>
    <s v="Wireless Mouse"/>
    <n v="3"/>
    <n v="150"/>
    <s v="South"/>
    <x v="380"/>
    <n v="450"/>
  </r>
  <r>
    <s v="Jun-2024"/>
    <d v="2024-06-22T14:41:52"/>
    <s v="Wireless Mouse"/>
    <n v="2"/>
    <n v="450"/>
    <s v="South"/>
    <x v="450"/>
    <n v="900"/>
  </r>
  <r>
    <s v="Jun-2024"/>
    <d v="2024-06-23T02:23:08"/>
    <s v="Smart Watch"/>
    <n v="5"/>
    <n v="1800"/>
    <s v="East"/>
    <x v="238"/>
    <n v="9000"/>
  </r>
  <r>
    <s v="Jun-2024"/>
    <d v="2024-06-23T14:04:24"/>
    <s v="Laptop Bag"/>
    <n v="1"/>
    <n v="3500"/>
    <s v="West"/>
    <x v="365"/>
    <n v="3500"/>
  </r>
  <r>
    <s v="Jun-2024"/>
    <d v="2024-06-24T01:45:40"/>
    <s v="Smart Watch"/>
    <n v="3"/>
    <n v="1800"/>
    <s v="South"/>
    <x v="452"/>
    <n v="5400"/>
  </r>
  <r>
    <s v="Jun-2024"/>
    <d v="2024-06-24T13:26:56"/>
    <s v="Keyboard"/>
    <n v="1"/>
    <n v="150"/>
    <s v="South"/>
    <x v="143"/>
    <n v="150"/>
  </r>
  <r>
    <s v="Jun-2024"/>
    <d v="2024-06-25T01:08:12"/>
    <s v="Mobile Cover"/>
    <n v="3"/>
    <n v="150"/>
    <s v="East"/>
    <x v="367"/>
    <n v="450"/>
  </r>
  <r>
    <s v="Jun-2024"/>
    <d v="2024-06-25T12:49:28"/>
    <s v="Headphones"/>
    <n v="5"/>
    <n v="450"/>
    <s v="West"/>
    <x v="269"/>
    <n v="2250"/>
  </r>
  <r>
    <s v="Jun-2024"/>
    <d v="2024-06-26T00:30:44"/>
    <s v="Laptop Bag"/>
    <n v="1"/>
    <n v="1200"/>
    <s v="South"/>
    <x v="165"/>
    <n v="1200"/>
  </r>
  <r>
    <s v="Jun-2024"/>
    <d v="2024-06-26T12:12:00"/>
    <s v="Mobile Cover"/>
    <n v="4"/>
    <n v="150"/>
    <s v="South"/>
    <x v="86"/>
    <n v="600"/>
  </r>
  <r>
    <s v="Jun-2024"/>
    <d v="2024-06-26T23:53:17"/>
    <s v="Laptop Bag"/>
    <n v="6"/>
    <n v="3500"/>
    <s v="West"/>
    <x v="35"/>
    <n v="21000"/>
  </r>
  <r>
    <s v="Jun-2024"/>
    <d v="2024-06-27T11:34:33"/>
    <s v="Smart Watch"/>
    <n v="6"/>
    <n v="1200"/>
    <s v="South"/>
    <x v="268"/>
    <n v="7200"/>
  </r>
  <r>
    <s v="Jun-2024"/>
    <d v="2024-06-27T23:15:49"/>
    <s v="Wireless Mouse"/>
    <n v="3"/>
    <n v="700"/>
    <s v="West"/>
    <x v="327"/>
    <n v="2100"/>
  </r>
  <r>
    <s v="Jun-2024"/>
    <d v="2024-06-28T10:57:05"/>
    <s v="Headphones"/>
    <n v="4"/>
    <n v="1800"/>
    <s v="West"/>
    <x v="61"/>
    <n v="7200"/>
  </r>
  <r>
    <s v="Jun-2024"/>
    <d v="2024-06-28T22:38:21"/>
    <s v="Smart Watch"/>
    <n v="1"/>
    <n v="1200"/>
    <s v="East"/>
    <x v="446"/>
    <n v="1200"/>
  </r>
  <r>
    <s v="Jun-2024"/>
    <d v="2024-06-29T10:19:37"/>
    <s v="Mobile Cover"/>
    <n v="4"/>
    <n v="1800"/>
    <s v="North"/>
    <x v="404"/>
    <n v="7200"/>
  </r>
  <r>
    <s v="Jun-2024"/>
    <d v="2024-06-29T22:00:53"/>
    <s v="Mobile Cover"/>
    <n v="4"/>
    <n v="1200"/>
    <s v="West"/>
    <x v="265"/>
    <n v="4800"/>
  </r>
  <r>
    <s v="Jun-2024"/>
    <d v="2024-06-30T09:42:09"/>
    <s v="Mobile Cover"/>
    <n v="1"/>
    <n v="700"/>
    <s v="East"/>
    <x v="49"/>
    <n v="700"/>
  </r>
  <r>
    <s v="Jun-2024"/>
    <d v="2024-06-30T21:23:25"/>
    <s v="Mobile Cover"/>
    <n v="5"/>
    <n v="150"/>
    <s v="North"/>
    <x v="453"/>
    <n v="750"/>
  </r>
  <r>
    <s v="Jul-2024"/>
    <d v="2024-07-01T09:04:41"/>
    <s v="Mobile Cover"/>
    <n v="4"/>
    <n v="700"/>
    <s v="South"/>
    <x v="296"/>
    <n v="2800"/>
  </r>
  <r>
    <s v="Jul-2024"/>
    <d v="2024-07-01T20:45:57"/>
    <s v="Laptop Bag"/>
    <n v="4"/>
    <n v="150"/>
    <s v="North"/>
    <x v="93"/>
    <n v="600"/>
  </r>
  <r>
    <s v="Jul-2024"/>
    <d v="2024-07-02T08:27:13"/>
    <s v="Smart Watch"/>
    <n v="5"/>
    <n v="150"/>
    <s v="West"/>
    <x v="197"/>
    <n v="750"/>
  </r>
  <r>
    <s v="Jul-2024"/>
    <d v="2024-07-02T20:08:29"/>
    <s v="Headphones"/>
    <n v="4"/>
    <n v="1800"/>
    <s v="West"/>
    <x v="395"/>
    <n v="7200"/>
  </r>
  <r>
    <s v="Jul-2024"/>
    <d v="2024-07-03T07:49:45"/>
    <s v="Wireless Mouse"/>
    <n v="4"/>
    <n v="3500"/>
    <s v="West"/>
    <x v="418"/>
    <n v="14000"/>
  </r>
  <r>
    <s v="Jul-2024"/>
    <d v="2024-07-03T19:31:01"/>
    <s v="Wireless Mouse"/>
    <n v="4"/>
    <n v="700"/>
    <s v="West"/>
    <x v="370"/>
    <n v="2800"/>
  </r>
  <r>
    <s v="Jul-2024"/>
    <d v="2024-07-04T07:12:17"/>
    <s v="Smart Watch"/>
    <n v="6"/>
    <n v="1200"/>
    <s v="West"/>
    <x v="2"/>
    <n v="7200"/>
  </r>
  <r>
    <s v="Jul-2024"/>
    <d v="2024-07-04T18:53:33"/>
    <s v="Smart Watch"/>
    <n v="2"/>
    <n v="700"/>
    <s v="East"/>
    <x v="285"/>
    <n v="1400"/>
  </r>
  <r>
    <s v="Jul-2024"/>
    <d v="2024-07-05T06:34:49"/>
    <s v="Wireless Mouse"/>
    <n v="5"/>
    <n v="1800"/>
    <s v="West"/>
    <x v="274"/>
    <n v="9000"/>
  </r>
  <r>
    <s v="Jul-2024"/>
    <d v="2024-07-05T18:16:05"/>
    <s v="Wireless Mouse"/>
    <n v="4"/>
    <n v="150"/>
    <s v="East"/>
    <x v="224"/>
    <n v="600"/>
  </r>
  <r>
    <s v="Jul-2024"/>
    <d v="2024-07-06T05:57:21"/>
    <s v="Laptop Bag"/>
    <n v="6"/>
    <n v="1800"/>
    <s v="South"/>
    <x v="148"/>
    <n v="10800"/>
  </r>
  <r>
    <s v="Jul-2024"/>
    <d v="2024-07-06T17:38:38"/>
    <s v="Keyboard"/>
    <n v="5"/>
    <n v="450"/>
    <s v="West"/>
    <x v="380"/>
    <n v="2250"/>
  </r>
  <r>
    <s v="Jul-2024"/>
    <d v="2024-07-07T05:19:54"/>
    <s v="Headphones"/>
    <n v="3"/>
    <n v="450"/>
    <s v="West"/>
    <x v="222"/>
    <n v="1350"/>
  </r>
  <r>
    <s v="Jul-2024"/>
    <d v="2024-07-07T17:01:10"/>
    <s v="Mobile Cover"/>
    <n v="3"/>
    <n v="1200"/>
    <s v="North"/>
    <x v="168"/>
    <n v="3600"/>
  </r>
  <r>
    <s v="Jul-2024"/>
    <d v="2024-07-08T04:42:26"/>
    <s v="Keyboard"/>
    <n v="4"/>
    <n v="1800"/>
    <s v="South"/>
    <x v="391"/>
    <n v="7200"/>
  </r>
  <r>
    <s v="Jul-2024"/>
    <d v="2024-07-08T16:23:42"/>
    <s v="Smart Watch"/>
    <n v="6"/>
    <n v="1200"/>
    <s v="West"/>
    <x v="10"/>
    <n v="7200"/>
  </r>
  <r>
    <s v="Jul-2024"/>
    <d v="2024-07-09T04:04:58"/>
    <s v="Wireless Mouse"/>
    <n v="6"/>
    <n v="1200"/>
    <s v="West"/>
    <x v="320"/>
    <n v="7200"/>
  </r>
  <r>
    <s v="Jul-2024"/>
    <d v="2024-07-09T15:46:14"/>
    <s v="Keyboard"/>
    <n v="5"/>
    <n v="450"/>
    <s v="South"/>
    <x v="193"/>
    <n v="2250"/>
  </r>
  <r>
    <s v="Jul-2024"/>
    <d v="2024-07-10T03:27:30"/>
    <s v="Headphones"/>
    <n v="5"/>
    <n v="1200"/>
    <s v="East"/>
    <x v="211"/>
    <n v="6000"/>
  </r>
  <r>
    <s v="Jul-2024"/>
    <d v="2024-07-10T15:08:46"/>
    <s v="Smart Watch"/>
    <n v="6"/>
    <n v="450"/>
    <s v="West"/>
    <x v="391"/>
    <n v="2700"/>
  </r>
  <r>
    <s v="Jul-2024"/>
    <d v="2024-07-11T02:50:02"/>
    <s v="Mobile Cover"/>
    <n v="5"/>
    <n v="150"/>
    <s v="North"/>
    <x v="441"/>
    <n v="750"/>
  </r>
  <r>
    <s v="Jul-2024"/>
    <d v="2024-07-11T14:31:18"/>
    <s v="Mobile Cover"/>
    <n v="6"/>
    <n v="1800"/>
    <s v="West"/>
    <x v="64"/>
    <n v="10800"/>
  </r>
  <r>
    <s v="Jul-2024"/>
    <d v="2024-07-12T02:12:34"/>
    <s v="Headphones"/>
    <n v="2"/>
    <n v="1200"/>
    <s v="North"/>
    <x v="130"/>
    <n v="2400"/>
  </r>
  <r>
    <s v="Jul-2024"/>
    <d v="2024-07-12T13:53:50"/>
    <s v="Headphones"/>
    <n v="6"/>
    <n v="450"/>
    <s v="North"/>
    <x v="73"/>
    <n v="2700"/>
  </r>
  <r>
    <s v="Jul-2024"/>
    <d v="2024-07-13T01:35:06"/>
    <s v="Wireless Mouse"/>
    <n v="3"/>
    <n v="700"/>
    <s v="West"/>
    <x v="151"/>
    <n v="2100"/>
  </r>
  <r>
    <s v="Jul-2024"/>
    <d v="2024-07-13T13:16:22"/>
    <s v="Mobile Cover"/>
    <n v="5"/>
    <n v="1200"/>
    <s v="West"/>
    <x v="115"/>
    <n v="6000"/>
  </r>
  <r>
    <s v="Jul-2024"/>
    <d v="2024-07-14T00:57:38"/>
    <s v="Smart Watch"/>
    <n v="6"/>
    <n v="3500"/>
    <s v="North"/>
    <x v="72"/>
    <n v="21000"/>
  </r>
  <r>
    <s v="Jul-2024"/>
    <d v="2024-07-14T12:38:54"/>
    <s v="Keyboard"/>
    <n v="6"/>
    <n v="150"/>
    <s v="South"/>
    <x v="132"/>
    <n v="900"/>
  </r>
  <r>
    <s v="Jul-2024"/>
    <d v="2024-07-15T00:20:10"/>
    <s v="Smart Watch"/>
    <n v="5"/>
    <n v="150"/>
    <s v="South"/>
    <x v="432"/>
    <n v="750"/>
  </r>
  <r>
    <s v="Jul-2024"/>
    <d v="2024-07-15T12:01:26"/>
    <s v="Laptop Bag"/>
    <n v="2"/>
    <n v="700"/>
    <s v="West"/>
    <x v="454"/>
    <n v="1400"/>
  </r>
  <r>
    <s v="Jul-2024"/>
    <d v="2024-07-15T23:42:43"/>
    <s v="Laptop Bag"/>
    <n v="2"/>
    <n v="450"/>
    <s v="East"/>
    <x v="327"/>
    <n v="900"/>
  </r>
  <r>
    <s v="Jul-2024"/>
    <d v="2024-07-16T11:23:59"/>
    <s v="Headphones"/>
    <n v="5"/>
    <n v="1200"/>
    <s v="South"/>
    <x v="102"/>
    <n v="6000"/>
  </r>
  <r>
    <s v="Jul-2024"/>
    <d v="2024-07-16T23:05:15"/>
    <s v="Wireless Mouse"/>
    <n v="1"/>
    <n v="450"/>
    <s v="West"/>
    <x v="135"/>
    <n v="450"/>
  </r>
  <r>
    <s v="Jul-2024"/>
    <d v="2024-07-17T10:46:31"/>
    <s v="Laptop Bag"/>
    <n v="5"/>
    <n v="150"/>
    <s v="South"/>
    <x v="55"/>
    <n v="750"/>
  </r>
  <r>
    <s v="Jul-2024"/>
    <d v="2024-07-17T22:27:47"/>
    <s v="Mobile Cover"/>
    <n v="5"/>
    <n v="450"/>
    <s v="East"/>
    <x v="455"/>
    <n v="2250"/>
  </r>
  <r>
    <s v="Jul-2024"/>
    <d v="2024-07-18T10:09:03"/>
    <s v="Smart Watch"/>
    <n v="2"/>
    <n v="150"/>
    <s v="West"/>
    <x v="456"/>
    <n v="300"/>
  </r>
  <r>
    <s v="Jul-2024"/>
    <d v="2024-07-18T21:50:19"/>
    <s v="Smart Watch"/>
    <n v="2"/>
    <n v="450"/>
    <s v="East"/>
    <x v="86"/>
    <n v="900"/>
  </r>
  <r>
    <s v="Jul-2024"/>
    <d v="2024-07-19T09:31:35"/>
    <s v="Headphones"/>
    <n v="5"/>
    <n v="700"/>
    <s v="West"/>
    <x v="457"/>
    <n v="3500"/>
  </r>
  <r>
    <s v="Jul-2024"/>
    <d v="2024-07-19T21:12:51"/>
    <s v="Keyboard"/>
    <n v="5"/>
    <n v="1800"/>
    <s v="East"/>
    <x v="420"/>
    <n v="9000"/>
  </r>
  <r>
    <s v="Jul-2024"/>
    <d v="2024-07-20T08:54:07"/>
    <s v="Headphones"/>
    <n v="5"/>
    <n v="700"/>
    <s v="South"/>
    <x v="48"/>
    <n v="3500"/>
  </r>
  <r>
    <s v="Jul-2024"/>
    <d v="2024-07-20T20:35:23"/>
    <s v="Keyboard"/>
    <n v="2"/>
    <n v="700"/>
    <s v="South"/>
    <x v="225"/>
    <n v="1400"/>
  </r>
  <r>
    <s v="Jul-2024"/>
    <d v="2024-07-21T08:16:39"/>
    <s v="Headphones"/>
    <n v="5"/>
    <n v="1800"/>
    <s v="East"/>
    <x v="65"/>
    <n v="9000"/>
  </r>
  <r>
    <s v="Jul-2024"/>
    <d v="2024-07-21T19:57:55"/>
    <s v="Headphones"/>
    <n v="5"/>
    <n v="1800"/>
    <s v="East"/>
    <x v="135"/>
    <n v="9000"/>
  </r>
  <r>
    <s v="Jul-2024"/>
    <d v="2024-07-22T07:39:11"/>
    <s v="Headphones"/>
    <n v="4"/>
    <n v="1200"/>
    <s v="East"/>
    <x v="30"/>
    <n v="4800"/>
  </r>
  <r>
    <s v="Jul-2024"/>
    <d v="2024-07-22T19:20:27"/>
    <s v="Keyboard"/>
    <n v="1"/>
    <n v="1200"/>
    <s v="West"/>
    <x v="195"/>
    <n v="1200"/>
  </r>
  <r>
    <s v="Jul-2024"/>
    <d v="2024-07-23T07:01:43"/>
    <s v="Keyboard"/>
    <n v="3"/>
    <n v="700"/>
    <s v="South"/>
    <x v="95"/>
    <n v="2100"/>
  </r>
  <r>
    <s v="Jul-2024"/>
    <d v="2024-07-23T18:42:59"/>
    <s v="Headphones"/>
    <n v="1"/>
    <n v="700"/>
    <s v="West"/>
    <x v="56"/>
    <n v="700"/>
  </r>
  <r>
    <s v="Jul-2024"/>
    <d v="2024-07-24T06:24:15"/>
    <s v="Laptop Bag"/>
    <n v="4"/>
    <n v="150"/>
    <s v="South"/>
    <x v="114"/>
    <n v="600"/>
  </r>
  <r>
    <s v="Jul-2024"/>
    <d v="2024-07-24T18:05:31"/>
    <s v="Wireless Mouse"/>
    <n v="3"/>
    <n v="150"/>
    <s v="North"/>
    <x v="45"/>
    <n v="450"/>
  </r>
  <r>
    <s v="Jul-2024"/>
    <d v="2024-07-25T05:46:47"/>
    <s v="Wireless Mouse"/>
    <n v="5"/>
    <n v="1200"/>
    <s v="West"/>
    <x v="429"/>
    <n v="6000"/>
  </r>
  <r>
    <s v="Jul-2024"/>
    <d v="2024-07-25T17:28:04"/>
    <s v="Wireless Mouse"/>
    <n v="4"/>
    <n v="3500"/>
    <s v="South"/>
    <x v="203"/>
    <n v="14000"/>
  </r>
  <r>
    <s v="Jul-2024"/>
    <d v="2024-07-26T05:09:20"/>
    <s v="Keyboard"/>
    <n v="5"/>
    <n v="3500"/>
    <s v="South"/>
    <x v="152"/>
    <n v="17500"/>
  </r>
  <r>
    <s v="Jul-2024"/>
    <d v="2024-07-26T16:50:36"/>
    <s v="Keyboard"/>
    <n v="2"/>
    <n v="1200"/>
    <s v="West"/>
    <x v="458"/>
    <n v="2400"/>
  </r>
  <r>
    <s v="Jul-2024"/>
    <d v="2024-07-27T04:31:52"/>
    <s v="Laptop Bag"/>
    <n v="6"/>
    <n v="150"/>
    <s v="West"/>
    <x v="361"/>
    <n v="900"/>
  </r>
  <r>
    <s v="Jul-2024"/>
    <d v="2024-07-27T16:13:08"/>
    <s v="Wireless Mouse"/>
    <n v="4"/>
    <n v="150"/>
    <s v="South"/>
    <x v="324"/>
    <n v="600"/>
  </r>
  <r>
    <s v="Jul-2024"/>
    <d v="2024-07-28T03:54:24"/>
    <s v="Wireless Mouse"/>
    <n v="2"/>
    <n v="3500"/>
    <s v="West"/>
    <x v="399"/>
    <n v="7000"/>
  </r>
  <r>
    <s v="Jul-2024"/>
    <d v="2024-07-28T15:35:40"/>
    <s v="Headphones"/>
    <n v="4"/>
    <n v="450"/>
    <s v="East"/>
    <x v="130"/>
    <n v="1800"/>
  </r>
  <r>
    <s v="Jul-2024"/>
    <d v="2024-07-29T03:16:56"/>
    <s v="Keyboard"/>
    <n v="4"/>
    <n v="450"/>
    <s v="West"/>
    <x v="155"/>
    <n v="1800"/>
  </r>
  <r>
    <s v="Jul-2024"/>
    <d v="2024-07-29T14:58:12"/>
    <s v="Wireless Mouse"/>
    <n v="2"/>
    <n v="150"/>
    <s v="West"/>
    <x v="8"/>
    <n v="300"/>
  </r>
  <r>
    <s v="Jul-2024"/>
    <d v="2024-07-30T02:39:28"/>
    <s v="Smart Watch"/>
    <n v="3"/>
    <n v="450"/>
    <s v="West"/>
    <x v="459"/>
    <n v="1350"/>
  </r>
  <r>
    <s v="Jul-2024"/>
    <d v="2024-07-30T14:20:44"/>
    <s v="Laptop Bag"/>
    <n v="1"/>
    <n v="1800"/>
    <s v="South"/>
    <x v="244"/>
    <n v="1800"/>
  </r>
  <r>
    <s v="Jul-2024"/>
    <d v="2024-07-31T02:02:00"/>
    <s v="Smart Watch"/>
    <n v="5"/>
    <n v="1200"/>
    <s v="East"/>
    <x v="260"/>
    <n v="6000"/>
  </r>
  <r>
    <s v="Jul-2024"/>
    <d v="2024-07-31T13:43:16"/>
    <s v="Smart Watch"/>
    <n v="4"/>
    <n v="1200"/>
    <s v="North"/>
    <x v="323"/>
    <n v="4800"/>
  </r>
  <r>
    <s v="Aug-2024"/>
    <d v="2024-08-01T01:24:32"/>
    <s v="Laptop Bag"/>
    <n v="5"/>
    <n v="150"/>
    <s v="North"/>
    <x v="36"/>
    <n v="750"/>
  </r>
  <r>
    <s v="Aug-2024"/>
    <d v="2024-08-01T13:05:48"/>
    <s v="Smart Watch"/>
    <n v="6"/>
    <n v="700"/>
    <s v="East"/>
    <x v="252"/>
    <n v="4200"/>
  </r>
  <r>
    <s v="Aug-2024"/>
    <d v="2024-08-02T00:47:04"/>
    <s v="Wireless Mouse"/>
    <n v="2"/>
    <n v="3500"/>
    <s v="East"/>
    <x v="460"/>
    <n v="7000"/>
  </r>
  <r>
    <s v="Aug-2024"/>
    <d v="2024-08-02T12:28:20"/>
    <s v="Keyboard"/>
    <n v="5"/>
    <n v="150"/>
    <s v="East"/>
    <x v="134"/>
    <n v="750"/>
  </r>
  <r>
    <s v="Aug-2024"/>
    <d v="2024-08-03T00:09:36"/>
    <s v="Laptop Bag"/>
    <n v="2"/>
    <n v="450"/>
    <s v="South"/>
    <x v="276"/>
    <n v="900"/>
  </r>
  <r>
    <s v="Aug-2024"/>
    <d v="2024-08-03T11:50:52"/>
    <s v="Headphones"/>
    <n v="5"/>
    <n v="3500"/>
    <s v="North"/>
    <x v="70"/>
    <n v="17500"/>
  </r>
  <r>
    <s v="Aug-2024"/>
    <d v="2024-08-03T23:32:08"/>
    <s v="Smart Watch"/>
    <n v="1"/>
    <n v="700"/>
    <s v="East"/>
    <x v="158"/>
    <n v="700"/>
  </r>
  <r>
    <s v="Aug-2024"/>
    <d v="2024-08-04T11:13:25"/>
    <s v="Laptop Bag"/>
    <n v="1"/>
    <n v="450"/>
    <s v="South"/>
    <x v="133"/>
    <n v="450"/>
  </r>
  <r>
    <s v="Aug-2024"/>
    <d v="2024-08-04T22:54:41"/>
    <s v="Mobile Cover"/>
    <n v="1"/>
    <n v="1800"/>
    <s v="North"/>
    <x v="147"/>
    <n v="1800"/>
  </r>
  <r>
    <s v="Aug-2024"/>
    <d v="2024-08-05T10:35:57"/>
    <s v="Mobile Cover"/>
    <n v="1"/>
    <n v="450"/>
    <s v="West"/>
    <x v="422"/>
    <n v="450"/>
  </r>
  <r>
    <s v="Aug-2024"/>
    <d v="2024-08-05T22:17:13"/>
    <s v="Keyboard"/>
    <n v="1"/>
    <n v="1800"/>
    <s v="South"/>
    <x v="423"/>
    <n v="1800"/>
  </r>
  <r>
    <s v="Aug-2024"/>
    <d v="2024-08-06T09:58:29"/>
    <s v="Wireless Mouse"/>
    <n v="1"/>
    <n v="3500"/>
    <s v="North"/>
    <x v="444"/>
    <n v="3500"/>
  </r>
  <r>
    <s v="Aug-2024"/>
    <d v="2024-08-06T21:39:45"/>
    <s v="Keyboard"/>
    <n v="2"/>
    <n v="1800"/>
    <s v="South"/>
    <x v="166"/>
    <n v="3600"/>
  </r>
  <r>
    <s v="Aug-2024"/>
    <d v="2024-08-07T09:21:01"/>
    <s v="Keyboard"/>
    <n v="4"/>
    <n v="3500"/>
    <s v="North"/>
    <x v="438"/>
    <n v="14000"/>
  </r>
  <r>
    <s v="Aug-2024"/>
    <d v="2024-08-07T21:02:17"/>
    <s v="Keyboard"/>
    <n v="5"/>
    <n v="3500"/>
    <s v="North"/>
    <x v="52"/>
    <n v="17500"/>
  </r>
  <r>
    <s v="Aug-2024"/>
    <d v="2024-08-08T08:43:33"/>
    <s v="Keyboard"/>
    <n v="1"/>
    <n v="3500"/>
    <s v="West"/>
    <x v="304"/>
    <n v="3500"/>
  </r>
  <r>
    <s v="Aug-2024"/>
    <d v="2024-08-08T20:24:49"/>
    <s v="Headphones"/>
    <n v="2"/>
    <n v="3500"/>
    <s v="South"/>
    <x v="112"/>
    <n v="7000"/>
  </r>
  <r>
    <s v="Aug-2024"/>
    <d v="2024-08-09T08:06:05"/>
    <s v="Headphones"/>
    <n v="2"/>
    <n v="3500"/>
    <s v="East"/>
    <x v="234"/>
    <n v="7000"/>
  </r>
  <r>
    <s v="Aug-2024"/>
    <d v="2024-08-09T19:47:21"/>
    <s v="Laptop Bag"/>
    <n v="2"/>
    <n v="450"/>
    <s v="West"/>
    <x v="246"/>
    <n v="900"/>
  </r>
  <r>
    <s v="Aug-2024"/>
    <d v="2024-08-10T07:28:37"/>
    <s v="Mobile Cover"/>
    <n v="4"/>
    <n v="3500"/>
    <s v="West"/>
    <x v="461"/>
    <n v="14000"/>
  </r>
  <r>
    <s v="Aug-2024"/>
    <d v="2024-08-10T19:09:53"/>
    <s v="Keyboard"/>
    <n v="5"/>
    <n v="450"/>
    <s v="North"/>
    <x v="140"/>
    <n v="2250"/>
  </r>
  <r>
    <s v="Aug-2024"/>
    <d v="2024-08-11T06:51:09"/>
    <s v="Laptop Bag"/>
    <n v="4"/>
    <n v="3500"/>
    <s v="East"/>
    <x v="462"/>
    <n v="14000"/>
  </r>
  <r>
    <s v="Aug-2024"/>
    <d v="2024-08-11T18:32:25"/>
    <s v="Mobile Cover"/>
    <n v="3"/>
    <n v="1800"/>
    <s v="South"/>
    <x v="228"/>
    <n v="5400"/>
  </r>
  <r>
    <s v="Aug-2024"/>
    <d v="2024-08-12T06:13:41"/>
    <s v="Smart Watch"/>
    <n v="2"/>
    <n v="3500"/>
    <s v="East"/>
    <x v="362"/>
    <n v="7000"/>
  </r>
  <r>
    <s v="Aug-2024"/>
    <d v="2024-08-12T17:54:57"/>
    <s v="Wireless Mouse"/>
    <n v="3"/>
    <n v="700"/>
    <s v="East"/>
    <x v="231"/>
    <n v="2100"/>
  </r>
  <r>
    <s v="Aug-2024"/>
    <d v="2024-08-13T05:36:13"/>
    <s v="Headphones"/>
    <n v="6"/>
    <n v="3500"/>
    <s v="East"/>
    <x v="9"/>
    <n v="21000"/>
  </r>
  <r>
    <s v="Aug-2024"/>
    <d v="2024-08-13T17:17:29"/>
    <s v="Smart Watch"/>
    <n v="1"/>
    <n v="3500"/>
    <s v="East"/>
    <x v="451"/>
    <n v="3500"/>
  </r>
  <r>
    <s v="Aug-2024"/>
    <d v="2024-08-14T04:58:46"/>
    <s v="Mobile Cover"/>
    <n v="1"/>
    <n v="1800"/>
    <s v="East"/>
    <x v="20"/>
    <n v="1800"/>
  </r>
  <r>
    <s v="Aug-2024"/>
    <d v="2024-08-14T16:40:02"/>
    <s v="Smart Watch"/>
    <n v="4"/>
    <n v="1200"/>
    <s v="North"/>
    <x v="222"/>
    <n v="4800"/>
  </r>
  <r>
    <s v="Aug-2024"/>
    <d v="2024-08-15T04:21:18"/>
    <s v="Wireless Mouse"/>
    <n v="5"/>
    <n v="1800"/>
    <s v="North"/>
    <x v="0"/>
    <n v="9000"/>
  </r>
  <r>
    <s v="Aug-2024"/>
    <d v="2024-08-15T16:02:34"/>
    <s v="Mobile Cover"/>
    <n v="3"/>
    <n v="700"/>
    <s v="West"/>
    <x v="402"/>
    <n v="2100"/>
  </r>
  <r>
    <s v="Aug-2024"/>
    <d v="2024-08-16T03:43:50"/>
    <s v="Smart Watch"/>
    <n v="5"/>
    <n v="1200"/>
    <s v="North"/>
    <x v="98"/>
    <n v="6000"/>
  </r>
  <r>
    <s v="Aug-2024"/>
    <d v="2024-08-16T15:25:06"/>
    <s v="Headphones"/>
    <n v="4"/>
    <n v="150"/>
    <s v="West"/>
    <x v="120"/>
    <n v="600"/>
  </r>
  <r>
    <s v="Aug-2024"/>
    <d v="2024-08-17T03:06:22"/>
    <s v="Headphones"/>
    <n v="1"/>
    <n v="150"/>
    <s v="West"/>
    <x v="361"/>
    <n v="150"/>
  </r>
  <r>
    <s v="Aug-2024"/>
    <d v="2024-08-17T14:47:38"/>
    <s v="Laptop Bag"/>
    <n v="5"/>
    <n v="700"/>
    <s v="South"/>
    <x v="75"/>
    <n v="3500"/>
  </r>
  <r>
    <s v="Aug-2024"/>
    <d v="2024-08-18T02:28:54"/>
    <s v="Smart Watch"/>
    <n v="5"/>
    <n v="1800"/>
    <s v="East"/>
    <x v="301"/>
    <n v="9000"/>
  </r>
  <r>
    <s v="Aug-2024"/>
    <d v="2024-08-18T14:10:10"/>
    <s v="Keyboard"/>
    <n v="1"/>
    <n v="450"/>
    <s v="North"/>
    <x v="363"/>
    <n v="450"/>
  </r>
  <r>
    <s v="Aug-2024"/>
    <d v="2024-08-19T01:51:26"/>
    <s v="Smart Watch"/>
    <n v="3"/>
    <n v="700"/>
    <s v="South"/>
    <x v="137"/>
    <n v="2100"/>
  </r>
  <r>
    <s v="Aug-2024"/>
    <d v="2024-08-19T13:32:42"/>
    <s v="Mobile Cover"/>
    <n v="1"/>
    <n v="1200"/>
    <s v="North"/>
    <x v="9"/>
    <n v="1200"/>
  </r>
  <r>
    <s v="Aug-2024"/>
    <d v="2024-08-20T01:13:58"/>
    <s v="Mobile Cover"/>
    <n v="5"/>
    <n v="1200"/>
    <s v="West"/>
    <x v="463"/>
    <n v="6000"/>
  </r>
  <r>
    <s v="Aug-2024"/>
    <d v="2024-08-20T12:55:14"/>
    <s v="Smart Watch"/>
    <n v="3"/>
    <n v="3500"/>
    <s v="North"/>
    <x v="381"/>
    <n v="10500"/>
  </r>
  <r>
    <s v="Aug-2024"/>
    <d v="2024-08-21T00:36:30"/>
    <s v="Wireless Mouse"/>
    <n v="3"/>
    <n v="150"/>
    <s v="East"/>
    <x v="248"/>
    <n v="450"/>
  </r>
  <r>
    <s v="Aug-2024"/>
    <d v="2024-08-21T12:17:46"/>
    <s v="Headphones"/>
    <n v="1"/>
    <n v="1200"/>
    <s v="West"/>
    <x v="256"/>
    <n v="1200"/>
  </r>
  <r>
    <s v="Aug-2024"/>
    <d v="2024-08-21T23:59:02"/>
    <s v="Mobile Cover"/>
    <n v="5"/>
    <n v="700"/>
    <s v="West"/>
    <x v="16"/>
    <n v="3500"/>
  </r>
  <r>
    <s v="Aug-2024"/>
    <d v="2024-08-22T11:40:18"/>
    <s v="Headphones"/>
    <n v="4"/>
    <n v="1200"/>
    <s v="South"/>
    <x v="161"/>
    <n v="4800"/>
  </r>
  <r>
    <s v="Aug-2024"/>
    <d v="2024-08-22T23:21:34"/>
    <s v="Mobile Cover"/>
    <n v="5"/>
    <n v="700"/>
    <s v="East"/>
    <x v="236"/>
    <n v="3500"/>
  </r>
  <r>
    <s v="Aug-2024"/>
    <d v="2024-08-23T11:02:51"/>
    <s v="Laptop Bag"/>
    <n v="2"/>
    <n v="450"/>
    <s v="West"/>
    <x v="461"/>
    <n v="900"/>
  </r>
  <r>
    <s v="Aug-2024"/>
    <d v="2024-08-23T22:44:07"/>
    <s v="Keyboard"/>
    <n v="6"/>
    <n v="3500"/>
    <s v="East"/>
    <x v="420"/>
    <n v="21000"/>
  </r>
  <r>
    <s v="Aug-2024"/>
    <d v="2024-08-24T10:25:23"/>
    <s v="Mobile Cover"/>
    <n v="4"/>
    <n v="150"/>
    <s v="North"/>
    <x v="464"/>
    <n v="600"/>
  </r>
  <r>
    <s v="Aug-2024"/>
    <d v="2024-08-24T22:06:39"/>
    <s v="Headphones"/>
    <n v="3"/>
    <n v="1200"/>
    <s v="East"/>
    <x v="8"/>
    <n v="3600"/>
  </r>
  <r>
    <s v="Aug-2024"/>
    <d v="2024-08-25T09:47:55"/>
    <s v="Laptop Bag"/>
    <n v="4"/>
    <n v="700"/>
    <s v="West"/>
    <x v="31"/>
    <n v="2800"/>
  </r>
  <r>
    <s v="Aug-2024"/>
    <d v="2024-08-25T21:29:11"/>
    <s v="Mobile Cover"/>
    <n v="3"/>
    <n v="1800"/>
    <s v="South"/>
    <x v="386"/>
    <n v="5400"/>
  </r>
  <r>
    <s v="Aug-2024"/>
    <d v="2024-08-26T09:10:27"/>
    <s v="Wireless Mouse"/>
    <n v="3"/>
    <n v="150"/>
    <s v="West"/>
    <x v="302"/>
    <n v="450"/>
  </r>
  <r>
    <s v="Aug-2024"/>
    <d v="2024-08-26T20:51:43"/>
    <s v="Keyboard"/>
    <n v="4"/>
    <n v="450"/>
    <s v="East"/>
    <x v="465"/>
    <n v="1800"/>
  </r>
  <r>
    <s v="Aug-2024"/>
    <d v="2024-08-27T08:32:59"/>
    <s v="Mobile Cover"/>
    <n v="3"/>
    <n v="700"/>
    <s v="East"/>
    <x v="274"/>
    <n v="2100"/>
  </r>
  <r>
    <s v="Aug-2024"/>
    <d v="2024-08-27T20:14:15"/>
    <s v="Laptop Bag"/>
    <n v="3"/>
    <n v="3500"/>
    <s v="West"/>
    <x v="312"/>
    <n v="10500"/>
  </r>
  <r>
    <s v="Aug-2024"/>
    <d v="2024-08-28T07:55:31"/>
    <s v="Wireless Mouse"/>
    <n v="2"/>
    <n v="3500"/>
    <s v="East"/>
    <x v="60"/>
    <n v="7000"/>
  </r>
  <r>
    <s v="Aug-2024"/>
    <d v="2024-08-28T19:36:47"/>
    <s v="Smart Watch"/>
    <n v="5"/>
    <n v="450"/>
    <s v="North"/>
    <x v="221"/>
    <n v="2250"/>
  </r>
  <r>
    <s v="Aug-2024"/>
    <d v="2024-08-29T07:18:03"/>
    <s v="Laptop Bag"/>
    <n v="5"/>
    <n v="450"/>
    <s v="West"/>
    <x v="427"/>
    <n v="2250"/>
  </r>
  <r>
    <s v="Aug-2024"/>
    <d v="2024-08-29T18:59:19"/>
    <s v="Laptop Bag"/>
    <n v="6"/>
    <n v="3500"/>
    <s v="South"/>
    <x v="289"/>
    <n v="21000"/>
  </r>
  <r>
    <s v="Aug-2024"/>
    <d v="2024-08-30T06:40:35"/>
    <s v="Wireless Mouse"/>
    <n v="6"/>
    <n v="1200"/>
    <s v="West"/>
    <x v="343"/>
    <n v="7200"/>
  </r>
  <r>
    <s v="Aug-2024"/>
    <d v="2024-08-30T18:21:51"/>
    <s v="Laptop Bag"/>
    <n v="2"/>
    <n v="1200"/>
    <s v="North"/>
    <x v="141"/>
    <n v="2400"/>
  </r>
  <r>
    <s v="Aug-2024"/>
    <d v="2024-08-31T06:03:07"/>
    <s v="Wireless Mouse"/>
    <n v="6"/>
    <n v="700"/>
    <s v="North"/>
    <x v="466"/>
    <n v="4200"/>
  </r>
  <r>
    <s v="Aug-2024"/>
    <d v="2024-08-31T17:44:23"/>
    <s v="Mobile Cover"/>
    <n v="4"/>
    <n v="1800"/>
    <s v="North"/>
    <x v="467"/>
    <n v="7200"/>
  </r>
  <r>
    <s v="Sep-2024"/>
    <d v="2024-09-01T05:25:39"/>
    <s v="Wireless Mouse"/>
    <n v="1"/>
    <n v="700"/>
    <s v="North"/>
    <x v="78"/>
    <n v="700"/>
  </r>
  <r>
    <s v="Sep-2024"/>
    <d v="2024-09-01T17:06:55"/>
    <s v="Wireless Mouse"/>
    <n v="1"/>
    <n v="1800"/>
    <s v="North"/>
    <x v="468"/>
    <n v="1800"/>
  </r>
  <r>
    <s v="Sep-2024"/>
    <d v="2024-09-02T04:48:12"/>
    <s v="Keyboard"/>
    <n v="1"/>
    <n v="450"/>
    <s v="South"/>
    <x v="48"/>
    <n v="450"/>
  </r>
  <r>
    <s v="Sep-2024"/>
    <d v="2024-09-02T16:29:28"/>
    <s v="Wireless Mouse"/>
    <n v="2"/>
    <n v="150"/>
    <s v="East"/>
    <x v="174"/>
    <n v="300"/>
  </r>
  <r>
    <s v="Sep-2024"/>
    <d v="2024-09-03T04:10:44"/>
    <s v="Wireless Mouse"/>
    <n v="2"/>
    <n v="700"/>
    <s v="North"/>
    <x v="272"/>
    <n v="1400"/>
  </r>
  <r>
    <s v="Sep-2024"/>
    <d v="2024-09-03T15:52:00"/>
    <s v="Smart Watch"/>
    <n v="3"/>
    <n v="700"/>
    <s v="North"/>
    <x v="209"/>
    <n v="2100"/>
  </r>
  <r>
    <s v="Sep-2024"/>
    <d v="2024-09-04T03:33:16"/>
    <s v="Mobile Cover"/>
    <n v="1"/>
    <n v="1800"/>
    <s v="West"/>
    <x v="251"/>
    <n v="1800"/>
  </r>
  <r>
    <s v="Sep-2024"/>
    <d v="2024-09-04T15:14:32"/>
    <s v="Keyboard"/>
    <n v="4"/>
    <n v="450"/>
    <s v="South"/>
    <x v="287"/>
    <n v="1800"/>
  </r>
  <r>
    <s v="Sep-2024"/>
    <d v="2024-09-05T02:55:48"/>
    <s v="Smart Watch"/>
    <n v="6"/>
    <n v="450"/>
    <s v="South"/>
    <x v="123"/>
    <n v="2700"/>
  </r>
  <r>
    <s v="Sep-2024"/>
    <d v="2024-09-05T14:37:04"/>
    <s v="Headphones"/>
    <n v="4"/>
    <n v="1800"/>
    <s v="East"/>
    <x v="385"/>
    <n v="7200"/>
  </r>
  <r>
    <s v="Sep-2024"/>
    <d v="2024-09-06T02:18:20"/>
    <s v="Mobile Cover"/>
    <n v="6"/>
    <n v="450"/>
    <s v="South"/>
    <x v="469"/>
    <n v="2700"/>
  </r>
  <r>
    <s v="Sep-2024"/>
    <d v="2024-09-06T13:59:36"/>
    <s v="Mobile Cover"/>
    <n v="1"/>
    <n v="3500"/>
    <s v="West"/>
    <x v="378"/>
    <n v="3500"/>
  </r>
  <r>
    <s v="Sep-2024"/>
    <d v="2024-09-07T01:40:52"/>
    <s v="Headphones"/>
    <n v="1"/>
    <n v="1200"/>
    <s v="West"/>
    <x v="120"/>
    <n v="1200"/>
  </r>
  <r>
    <s v="Sep-2024"/>
    <d v="2024-09-07T13:22:08"/>
    <s v="Wireless Mouse"/>
    <n v="1"/>
    <n v="3500"/>
    <s v="East"/>
    <x v="448"/>
    <n v="3500"/>
  </r>
  <r>
    <s v="Sep-2024"/>
    <d v="2024-09-08T01:03:24"/>
    <s v="Smart Watch"/>
    <n v="2"/>
    <n v="150"/>
    <s v="West"/>
    <x v="274"/>
    <n v="300"/>
  </r>
  <r>
    <s v="Sep-2024"/>
    <d v="2024-09-08T12:44:40"/>
    <s v="Laptop Bag"/>
    <n v="6"/>
    <n v="700"/>
    <s v="North"/>
    <x v="470"/>
    <n v="4200"/>
  </r>
  <r>
    <s v="Sep-2024"/>
    <d v="2024-09-09T00:25:56"/>
    <s v="Keyboard"/>
    <n v="2"/>
    <n v="150"/>
    <s v="North"/>
    <x v="75"/>
    <n v="300"/>
  </r>
  <r>
    <s v="Sep-2024"/>
    <d v="2024-09-09T12:07:12"/>
    <s v="Laptop Bag"/>
    <n v="2"/>
    <n v="700"/>
    <s v="West"/>
    <x v="52"/>
    <n v="1400"/>
  </r>
  <r>
    <s v="Sep-2024"/>
    <d v="2024-09-09T23:48:28"/>
    <s v="Headphones"/>
    <n v="5"/>
    <n v="1200"/>
    <s v="East"/>
    <x v="456"/>
    <n v="6000"/>
  </r>
  <r>
    <s v="Sep-2024"/>
    <d v="2024-09-10T11:29:44"/>
    <s v="Mobile Cover"/>
    <n v="4"/>
    <n v="450"/>
    <s v="South"/>
    <x v="418"/>
    <n v="1800"/>
  </r>
  <r>
    <s v="Sep-2024"/>
    <d v="2024-09-10T23:11:00"/>
    <s v="Mobile Cover"/>
    <n v="4"/>
    <n v="3500"/>
    <s v="East"/>
    <x v="404"/>
    <n v="14000"/>
  </r>
  <r>
    <s v="Sep-2024"/>
    <d v="2024-09-11T10:52:16"/>
    <s v="Keyboard"/>
    <n v="3"/>
    <n v="1800"/>
    <s v="South"/>
    <x v="24"/>
    <n v="5400"/>
  </r>
  <r>
    <s v="Sep-2024"/>
    <d v="2024-09-11T22:33:33"/>
    <s v="Mobile Cover"/>
    <n v="2"/>
    <n v="3500"/>
    <s v="West"/>
    <x v="74"/>
    <n v="7000"/>
  </r>
  <r>
    <s v="Sep-2024"/>
    <d v="2024-09-12T10:14:49"/>
    <s v="Mobile Cover"/>
    <n v="6"/>
    <n v="1200"/>
    <s v="West"/>
    <x v="368"/>
    <n v="7200"/>
  </r>
  <r>
    <s v="Sep-2024"/>
    <d v="2024-09-12T21:56:05"/>
    <s v="Keyboard"/>
    <n v="5"/>
    <n v="150"/>
    <s v="North"/>
    <x v="299"/>
    <n v="750"/>
  </r>
  <r>
    <s v="Sep-2024"/>
    <d v="2024-09-13T09:37:21"/>
    <s v="Smart Watch"/>
    <n v="5"/>
    <n v="1800"/>
    <s v="South"/>
    <x v="377"/>
    <n v="9000"/>
  </r>
  <r>
    <s v="Sep-2024"/>
    <d v="2024-09-13T21:18:37"/>
    <s v="Smart Watch"/>
    <n v="4"/>
    <n v="450"/>
    <s v="East"/>
    <x v="422"/>
    <n v="1800"/>
  </r>
  <r>
    <s v="Sep-2024"/>
    <d v="2024-09-14T08:59:53"/>
    <s v="Keyboard"/>
    <n v="2"/>
    <n v="1200"/>
    <s v="West"/>
    <x v="90"/>
    <n v="2400"/>
  </r>
  <r>
    <s v="Sep-2024"/>
    <d v="2024-09-14T20:41:09"/>
    <s v="Headphones"/>
    <n v="3"/>
    <n v="1800"/>
    <s v="East"/>
    <x v="445"/>
    <n v="5400"/>
  </r>
  <r>
    <s v="Sep-2024"/>
    <d v="2024-09-15T08:22:25"/>
    <s v="Mobile Cover"/>
    <n v="2"/>
    <n v="1200"/>
    <s v="North"/>
    <x v="185"/>
    <n v="2400"/>
  </r>
  <r>
    <s v="Sep-2024"/>
    <d v="2024-09-15T20:03:41"/>
    <s v="Mobile Cover"/>
    <n v="1"/>
    <n v="1200"/>
    <s v="South"/>
    <x v="376"/>
    <n v="1200"/>
  </r>
  <r>
    <s v="Sep-2024"/>
    <d v="2024-09-16T07:44:57"/>
    <s v="Headphones"/>
    <n v="2"/>
    <n v="450"/>
    <s v="South"/>
    <x v="153"/>
    <n v="900"/>
  </r>
  <r>
    <s v="Sep-2024"/>
    <d v="2024-09-16T19:26:13"/>
    <s v="Smart Watch"/>
    <n v="1"/>
    <n v="700"/>
    <s v="West"/>
    <x v="85"/>
    <n v="700"/>
  </r>
  <r>
    <s v="Sep-2024"/>
    <d v="2024-09-17T07:07:29"/>
    <s v="Wireless Mouse"/>
    <n v="1"/>
    <n v="1800"/>
    <s v="South"/>
    <x v="360"/>
    <n v="1800"/>
  </r>
  <r>
    <s v="Sep-2024"/>
    <d v="2024-09-17T18:48:45"/>
    <s v="Wireless Mouse"/>
    <n v="3"/>
    <n v="450"/>
    <s v="West"/>
    <x v="122"/>
    <n v="1350"/>
  </r>
  <r>
    <s v="Sep-2024"/>
    <d v="2024-09-18T06:30:01"/>
    <s v="Wireless Mouse"/>
    <n v="6"/>
    <n v="1200"/>
    <s v="North"/>
    <x v="364"/>
    <n v="7200"/>
  </r>
  <r>
    <s v="Sep-2024"/>
    <d v="2024-09-18T18:11:17"/>
    <s v="Smart Watch"/>
    <n v="4"/>
    <n v="450"/>
    <s v="South"/>
    <x v="33"/>
    <n v="1800"/>
  </r>
  <r>
    <s v="Sep-2024"/>
    <d v="2024-09-19T05:52:33"/>
    <s v="Smart Watch"/>
    <n v="2"/>
    <n v="700"/>
    <s v="West"/>
    <x v="471"/>
    <n v="1400"/>
  </r>
  <r>
    <s v="Sep-2024"/>
    <d v="2024-09-19T17:33:49"/>
    <s v="Headphones"/>
    <n v="1"/>
    <n v="3500"/>
    <s v="East"/>
    <x v="165"/>
    <n v="3500"/>
  </r>
  <r>
    <s v="Sep-2024"/>
    <d v="2024-09-20T05:15:05"/>
    <s v="Mobile Cover"/>
    <n v="2"/>
    <n v="1800"/>
    <s v="West"/>
    <x v="210"/>
    <n v="3600"/>
  </r>
  <r>
    <s v="Sep-2024"/>
    <d v="2024-09-20T16:56:21"/>
    <s v="Headphones"/>
    <n v="6"/>
    <n v="700"/>
    <s v="South"/>
    <x v="62"/>
    <n v="4200"/>
  </r>
  <r>
    <s v="Sep-2024"/>
    <d v="2024-09-21T04:37:38"/>
    <s v="Headphones"/>
    <n v="4"/>
    <n v="150"/>
    <s v="North"/>
    <x v="57"/>
    <n v="600"/>
  </r>
  <r>
    <s v="Sep-2024"/>
    <d v="2024-09-21T16:18:54"/>
    <s v="Smart Watch"/>
    <n v="6"/>
    <n v="1800"/>
    <s v="South"/>
    <x v="19"/>
    <n v="10800"/>
  </r>
  <r>
    <s v="Sep-2024"/>
    <d v="2024-09-22T04:00:10"/>
    <s v="Wireless Mouse"/>
    <n v="4"/>
    <n v="700"/>
    <s v="South"/>
    <x v="466"/>
    <n v="2800"/>
  </r>
  <r>
    <s v="Sep-2024"/>
    <d v="2024-09-22T15:41:26"/>
    <s v="Laptop Bag"/>
    <n v="5"/>
    <n v="1200"/>
    <s v="West"/>
    <x v="302"/>
    <n v="6000"/>
  </r>
  <r>
    <s v="Sep-2024"/>
    <d v="2024-09-23T03:22:42"/>
    <s v="Mobile Cover"/>
    <n v="4"/>
    <n v="1800"/>
    <s v="East"/>
    <x v="107"/>
    <n v="7200"/>
  </r>
  <r>
    <s v="Sep-2024"/>
    <d v="2024-09-23T15:03:58"/>
    <s v="Smart Watch"/>
    <n v="3"/>
    <n v="1800"/>
    <s v="South"/>
    <x v="235"/>
    <n v="5400"/>
  </r>
  <r>
    <s v="Sep-2024"/>
    <d v="2024-09-24T02:45:14"/>
    <s v="Wireless Mouse"/>
    <n v="6"/>
    <n v="450"/>
    <s v="East"/>
    <x v="229"/>
    <n v="2700"/>
  </r>
  <r>
    <s v="Sep-2024"/>
    <d v="2024-09-24T14:26:30"/>
    <s v="Laptop Bag"/>
    <n v="1"/>
    <n v="1200"/>
    <s v="West"/>
    <x v="355"/>
    <n v="1200"/>
  </r>
  <r>
    <s v="Sep-2024"/>
    <d v="2024-09-25T02:07:46"/>
    <s v="Laptop Bag"/>
    <n v="5"/>
    <n v="150"/>
    <s v="East"/>
    <x v="370"/>
    <n v="750"/>
  </r>
  <r>
    <s v="Sep-2024"/>
    <d v="2024-09-25T13:49:02"/>
    <s v="Smart Watch"/>
    <n v="3"/>
    <n v="3500"/>
    <s v="West"/>
    <x v="315"/>
    <n v="10500"/>
  </r>
  <r>
    <s v="Sep-2024"/>
    <d v="2024-09-26T01:30:18"/>
    <s v="Keyboard"/>
    <n v="2"/>
    <n v="700"/>
    <s v="North"/>
    <x v="47"/>
    <n v="1400"/>
  </r>
  <r>
    <s v="Sep-2024"/>
    <d v="2024-09-26T13:11:34"/>
    <s v="Mobile Cover"/>
    <n v="6"/>
    <n v="450"/>
    <s v="East"/>
    <x v="172"/>
    <n v="2700"/>
  </r>
  <r>
    <s v="Sep-2024"/>
    <d v="2024-09-27T00:52:50"/>
    <s v="Laptop Bag"/>
    <n v="1"/>
    <n v="700"/>
    <s v="East"/>
    <x v="353"/>
    <n v="700"/>
  </r>
  <r>
    <s v="Sep-2024"/>
    <d v="2024-09-27T12:34:06"/>
    <s v="Smart Watch"/>
    <n v="4"/>
    <n v="150"/>
    <s v="North"/>
    <x v="277"/>
    <n v="600"/>
  </r>
  <r>
    <s v="Sep-2024"/>
    <d v="2024-09-28T00:15:22"/>
    <s v="Smart Watch"/>
    <n v="1"/>
    <n v="150"/>
    <s v="East"/>
    <x v="296"/>
    <n v="150"/>
  </r>
  <r>
    <s v="Sep-2024"/>
    <d v="2024-09-28T11:56:38"/>
    <s v="Wireless Mouse"/>
    <n v="2"/>
    <n v="1800"/>
    <s v="North"/>
    <x v="315"/>
    <n v="3600"/>
  </r>
  <r>
    <s v="Sep-2024"/>
    <d v="2024-09-28T23:37:54"/>
    <s v="Keyboard"/>
    <n v="5"/>
    <n v="150"/>
    <s v="South"/>
    <x v="213"/>
    <n v="750"/>
  </r>
  <r>
    <s v="Sep-2024"/>
    <d v="2024-09-29T11:19:10"/>
    <s v="Mobile Cover"/>
    <n v="5"/>
    <n v="700"/>
    <s v="West"/>
    <x v="394"/>
    <n v="3500"/>
  </r>
  <r>
    <s v="Sep-2024"/>
    <d v="2024-09-29T23:00:26"/>
    <s v="Headphones"/>
    <n v="6"/>
    <n v="1200"/>
    <s v="North"/>
    <x v="213"/>
    <n v="7200"/>
  </r>
  <r>
    <s v="Sep-2024"/>
    <d v="2024-09-30T10:41:42"/>
    <s v="Wireless Mouse"/>
    <n v="5"/>
    <n v="1200"/>
    <s v="East"/>
    <x v="428"/>
    <n v="6000"/>
  </r>
  <r>
    <s v="Sep-2024"/>
    <d v="2024-09-30T22:22:59"/>
    <s v="Laptop Bag"/>
    <n v="6"/>
    <n v="1800"/>
    <s v="North"/>
    <x v="298"/>
    <n v="10800"/>
  </r>
  <r>
    <s v="Oct-2024"/>
    <d v="2024-10-01T10:04:15"/>
    <s v="Laptop Bag"/>
    <n v="6"/>
    <n v="3500"/>
    <s v="East"/>
    <x v="295"/>
    <n v="21000"/>
  </r>
  <r>
    <s v="Oct-2024"/>
    <d v="2024-10-01T21:45:31"/>
    <s v="Wireless Mouse"/>
    <n v="6"/>
    <n v="700"/>
    <s v="South"/>
    <x v="151"/>
    <n v="4200"/>
  </r>
  <r>
    <s v="Oct-2024"/>
    <d v="2024-10-02T09:26:47"/>
    <s v="Smart Watch"/>
    <n v="4"/>
    <n v="700"/>
    <s v="North"/>
    <x v="35"/>
    <n v="2800"/>
  </r>
  <r>
    <s v="Oct-2024"/>
    <d v="2024-10-02T21:08:03"/>
    <s v="Laptop Bag"/>
    <n v="3"/>
    <n v="150"/>
    <s v="South"/>
    <x v="51"/>
    <n v="450"/>
  </r>
  <r>
    <s v="Oct-2024"/>
    <d v="2024-10-03T08:49:19"/>
    <s v="Keyboard"/>
    <n v="6"/>
    <n v="700"/>
    <s v="West"/>
    <x v="472"/>
    <n v="4200"/>
  </r>
  <r>
    <s v="Oct-2024"/>
    <d v="2024-10-03T20:30:35"/>
    <s v="Mobile Cover"/>
    <n v="6"/>
    <n v="450"/>
    <s v="East"/>
    <x v="416"/>
    <n v="2700"/>
  </r>
  <r>
    <s v="Oct-2024"/>
    <d v="2024-10-04T08:11:51"/>
    <s v="Keyboard"/>
    <n v="3"/>
    <n v="3500"/>
    <s v="East"/>
    <x v="450"/>
    <n v="10500"/>
  </r>
  <r>
    <s v="Oct-2024"/>
    <d v="2024-10-04T19:53:07"/>
    <s v="Laptop Bag"/>
    <n v="1"/>
    <n v="150"/>
    <s v="South"/>
    <x v="299"/>
    <n v="150"/>
  </r>
  <r>
    <s v="Oct-2024"/>
    <d v="2024-10-05T07:34:23"/>
    <s v="Headphones"/>
    <n v="6"/>
    <n v="450"/>
    <s v="West"/>
    <x v="205"/>
    <n v="2700"/>
  </r>
  <r>
    <s v="Oct-2024"/>
    <d v="2024-10-05T19:15:39"/>
    <s v="Mobile Cover"/>
    <n v="4"/>
    <n v="1800"/>
    <s v="North"/>
    <x v="17"/>
    <n v="7200"/>
  </r>
  <r>
    <s v="Oct-2024"/>
    <d v="2024-10-06T06:56:55"/>
    <s v="Mobile Cover"/>
    <n v="5"/>
    <n v="1200"/>
    <s v="North"/>
    <x v="398"/>
    <n v="6000"/>
  </r>
  <r>
    <s v="Oct-2024"/>
    <d v="2024-10-06T18:38:11"/>
    <s v="Wireless Mouse"/>
    <n v="5"/>
    <n v="1800"/>
    <s v="East"/>
    <x v="114"/>
    <n v="9000"/>
  </r>
  <r>
    <s v="Oct-2024"/>
    <d v="2024-10-07T06:19:27"/>
    <s v="Wireless Mouse"/>
    <n v="2"/>
    <n v="1200"/>
    <s v="South"/>
    <x v="253"/>
    <n v="2400"/>
  </r>
  <r>
    <s v="Oct-2024"/>
    <d v="2024-10-07T18:00:43"/>
    <s v="Headphones"/>
    <n v="2"/>
    <n v="1800"/>
    <s v="South"/>
    <x v="381"/>
    <n v="3600"/>
  </r>
  <r>
    <s v="Oct-2024"/>
    <d v="2024-10-08T05:41:59"/>
    <s v="Smart Watch"/>
    <n v="5"/>
    <n v="700"/>
    <s v="North"/>
    <x v="77"/>
    <n v="3500"/>
  </r>
  <r>
    <s v="Oct-2024"/>
    <d v="2024-10-08T17:23:15"/>
    <s v="Mobile Cover"/>
    <n v="5"/>
    <n v="450"/>
    <s v="West"/>
    <x v="375"/>
    <n v="2250"/>
  </r>
  <r>
    <s v="Oct-2024"/>
    <d v="2024-10-09T05:04:31"/>
    <s v="Headphones"/>
    <n v="4"/>
    <n v="1200"/>
    <s v="West"/>
    <x v="323"/>
    <n v="4800"/>
  </r>
  <r>
    <s v="Oct-2024"/>
    <d v="2024-10-09T16:45:47"/>
    <s v="Wireless Mouse"/>
    <n v="3"/>
    <n v="150"/>
    <s v="North"/>
    <x v="111"/>
    <n v="450"/>
  </r>
  <r>
    <s v="Oct-2024"/>
    <d v="2024-10-10T04:27:03"/>
    <s v="Wireless Mouse"/>
    <n v="2"/>
    <n v="450"/>
    <s v="North"/>
    <x v="326"/>
    <n v="900"/>
  </r>
  <r>
    <s v="Oct-2024"/>
    <d v="2024-10-10T16:08:20"/>
    <s v="Mobile Cover"/>
    <n v="3"/>
    <n v="150"/>
    <s v="South"/>
    <x v="128"/>
    <n v="450"/>
  </r>
  <r>
    <s v="Oct-2024"/>
    <d v="2024-10-11T03:49:36"/>
    <s v="Keyboard"/>
    <n v="4"/>
    <n v="450"/>
    <s v="West"/>
    <x v="434"/>
    <n v="1800"/>
  </r>
  <r>
    <s v="Oct-2024"/>
    <d v="2024-10-11T15:30:52"/>
    <s v="Laptop Bag"/>
    <n v="5"/>
    <n v="450"/>
    <s v="North"/>
    <x v="254"/>
    <n v="2250"/>
  </r>
  <r>
    <s v="Oct-2024"/>
    <d v="2024-10-12T03:12:08"/>
    <s v="Wireless Mouse"/>
    <n v="6"/>
    <n v="1800"/>
    <s v="North"/>
    <x v="68"/>
    <n v="10800"/>
  </r>
  <r>
    <s v="Oct-2024"/>
    <d v="2024-10-12T14:53:24"/>
    <s v="Smart Watch"/>
    <n v="3"/>
    <n v="1200"/>
    <s v="East"/>
    <x v="296"/>
    <n v="3600"/>
  </r>
  <r>
    <s v="Oct-2024"/>
    <d v="2024-10-13T02:34:40"/>
    <s v="Smart Watch"/>
    <n v="5"/>
    <n v="1200"/>
    <s v="North"/>
    <x v="295"/>
    <n v="6000"/>
  </r>
  <r>
    <s v="Oct-2024"/>
    <d v="2024-10-13T14:15:56"/>
    <s v="Wireless Mouse"/>
    <n v="5"/>
    <n v="450"/>
    <s v="North"/>
    <x v="349"/>
    <n v="2250"/>
  </r>
  <r>
    <s v="Oct-2024"/>
    <d v="2024-10-14T01:57:12"/>
    <s v="Keyboard"/>
    <n v="1"/>
    <n v="700"/>
    <s v="West"/>
    <x v="93"/>
    <n v="700"/>
  </r>
  <r>
    <s v="Oct-2024"/>
    <d v="2024-10-14T13:38:28"/>
    <s v="Keyboard"/>
    <n v="3"/>
    <n v="700"/>
    <s v="South"/>
    <x v="282"/>
    <n v="2100"/>
  </r>
  <r>
    <s v="Oct-2024"/>
    <d v="2024-10-15T01:19:44"/>
    <s v="Headphones"/>
    <n v="6"/>
    <n v="150"/>
    <s v="West"/>
    <x v="231"/>
    <n v="900"/>
  </r>
  <r>
    <s v="Oct-2024"/>
    <d v="2024-10-15T13:01:00"/>
    <s v="Smart Watch"/>
    <n v="3"/>
    <n v="150"/>
    <s v="South"/>
    <x v="464"/>
    <n v="450"/>
  </r>
  <r>
    <s v="Oct-2024"/>
    <d v="2024-10-16T00:42:16"/>
    <s v="Headphones"/>
    <n v="5"/>
    <n v="1800"/>
    <s v="East"/>
    <x v="146"/>
    <n v="9000"/>
  </r>
  <r>
    <s v="Oct-2024"/>
    <d v="2024-10-16T12:23:32"/>
    <s v="Smart Watch"/>
    <n v="6"/>
    <n v="450"/>
    <s v="North"/>
    <x v="251"/>
    <n v="2700"/>
  </r>
  <r>
    <s v="Oct-2024"/>
    <d v="2024-10-17T00:04:48"/>
    <s v="Laptop Bag"/>
    <n v="4"/>
    <n v="150"/>
    <s v="East"/>
    <x v="346"/>
    <n v="600"/>
  </r>
  <r>
    <s v="Oct-2024"/>
    <d v="2024-10-17T11:46:04"/>
    <s v="Laptop Bag"/>
    <n v="1"/>
    <n v="150"/>
    <s v="South"/>
    <x v="31"/>
    <n v="150"/>
  </r>
  <r>
    <s v="Oct-2024"/>
    <d v="2024-10-17T23:27:20"/>
    <s v="Mobile Cover"/>
    <n v="5"/>
    <n v="3500"/>
    <s v="West"/>
    <x v="102"/>
    <n v="17500"/>
  </r>
  <r>
    <s v="Oct-2024"/>
    <d v="2024-10-18T11:08:36"/>
    <s v="Headphones"/>
    <n v="2"/>
    <n v="450"/>
    <s v="West"/>
    <x v="166"/>
    <n v="900"/>
  </r>
  <r>
    <s v="Oct-2024"/>
    <d v="2024-10-18T22:49:52"/>
    <s v="Wireless Mouse"/>
    <n v="2"/>
    <n v="1800"/>
    <s v="East"/>
    <x v="169"/>
    <n v="3600"/>
  </r>
  <r>
    <s v="Oct-2024"/>
    <d v="2024-10-19T10:31:08"/>
    <s v="Headphones"/>
    <n v="1"/>
    <n v="150"/>
    <s v="South"/>
    <x v="325"/>
    <n v="150"/>
  </r>
  <r>
    <s v="Oct-2024"/>
    <d v="2024-10-19T22:12:24"/>
    <s v="Wireless Mouse"/>
    <n v="4"/>
    <n v="1800"/>
    <s v="East"/>
    <x v="296"/>
    <n v="7200"/>
  </r>
  <r>
    <s v="Oct-2024"/>
    <d v="2024-10-20T09:53:41"/>
    <s v="Keyboard"/>
    <n v="5"/>
    <n v="1200"/>
    <s v="East"/>
    <x v="6"/>
    <n v="6000"/>
  </r>
  <r>
    <s v="Oct-2024"/>
    <d v="2024-10-20T21:34:57"/>
    <s v="Headphones"/>
    <n v="3"/>
    <n v="1800"/>
    <s v="North"/>
    <x v="197"/>
    <n v="5400"/>
  </r>
  <r>
    <s v="Oct-2024"/>
    <d v="2024-10-21T09:16:13"/>
    <s v="Keyboard"/>
    <n v="1"/>
    <n v="700"/>
    <s v="East"/>
    <x v="317"/>
    <n v="700"/>
  </r>
  <r>
    <s v="Oct-2024"/>
    <d v="2024-10-21T20:57:29"/>
    <s v="Laptop Bag"/>
    <n v="4"/>
    <n v="700"/>
    <s v="North"/>
    <x v="383"/>
    <n v="2800"/>
  </r>
  <r>
    <s v="Oct-2024"/>
    <d v="2024-10-22T08:38:45"/>
    <s v="Laptop Bag"/>
    <n v="3"/>
    <n v="1800"/>
    <s v="North"/>
    <x v="340"/>
    <n v="5400"/>
  </r>
  <r>
    <s v="Oct-2024"/>
    <d v="2024-10-22T20:20:01"/>
    <s v="Mobile Cover"/>
    <n v="2"/>
    <n v="700"/>
    <s v="West"/>
    <x v="313"/>
    <n v="1400"/>
  </r>
  <r>
    <s v="Oct-2024"/>
    <d v="2024-10-23T08:01:17"/>
    <s v="Headphones"/>
    <n v="2"/>
    <n v="1200"/>
    <s v="North"/>
    <x v="473"/>
    <n v="2400"/>
  </r>
  <r>
    <s v="Oct-2024"/>
    <d v="2024-10-23T19:42:33"/>
    <s v="Keyboard"/>
    <n v="3"/>
    <n v="450"/>
    <s v="North"/>
    <x v="466"/>
    <n v="1350"/>
  </r>
  <r>
    <s v="Oct-2024"/>
    <d v="2024-10-24T07:23:49"/>
    <s v="Wireless Mouse"/>
    <n v="1"/>
    <n v="700"/>
    <s v="West"/>
    <x v="119"/>
    <n v="700"/>
  </r>
  <r>
    <s v="Oct-2024"/>
    <d v="2024-10-24T19:05:05"/>
    <s v="Laptop Bag"/>
    <n v="2"/>
    <n v="700"/>
    <s v="East"/>
    <x v="460"/>
    <n v="1400"/>
  </r>
  <r>
    <s v="Oct-2024"/>
    <d v="2024-10-25T06:46:21"/>
    <s v="Laptop Bag"/>
    <n v="5"/>
    <n v="1800"/>
    <s v="South"/>
    <x v="389"/>
    <n v="9000"/>
  </r>
  <r>
    <s v="Oct-2024"/>
    <d v="2024-10-25T18:27:37"/>
    <s v="Wireless Mouse"/>
    <n v="6"/>
    <n v="1200"/>
    <s v="South"/>
    <x v="153"/>
    <n v="7200"/>
  </r>
  <r>
    <s v="Oct-2024"/>
    <d v="2024-10-26T06:08:53"/>
    <s v="Keyboard"/>
    <n v="3"/>
    <n v="450"/>
    <s v="South"/>
    <x v="23"/>
    <n v="1350"/>
  </r>
  <r>
    <s v="Oct-2024"/>
    <d v="2024-10-26T17:50:09"/>
    <s v="Keyboard"/>
    <n v="3"/>
    <n v="1800"/>
    <s v="East"/>
    <x v="435"/>
    <n v="5400"/>
  </r>
  <r>
    <s v="Oct-2024"/>
    <d v="2024-10-27T05:31:25"/>
    <s v="Headphones"/>
    <n v="2"/>
    <n v="1800"/>
    <s v="North"/>
    <x v="378"/>
    <n v="3600"/>
  </r>
  <r>
    <s v="Oct-2024"/>
    <d v="2024-10-27T17:12:41"/>
    <s v="Headphones"/>
    <n v="1"/>
    <n v="3500"/>
    <s v="South"/>
    <x v="271"/>
    <n v="3500"/>
  </r>
  <r>
    <s v="Oct-2024"/>
    <d v="2024-10-28T04:53:57"/>
    <s v="Smart Watch"/>
    <n v="5"/>
    <n v="1200"/>
    <s v="East"/>
    <x v="141"/>
    <n v="6000"/>
  </r>
  <r>
    <s v="Oct-2024"/>
    <d v="2024-10-28T16:35:13"/>
    <s v="Smart Watch"/>
    <n v="1"/>
    <n v="450"/>
    <s v="North"/>
    <x v="83"/>
    <n v="450"/>
  </r>
  <r>
    <s v="Oct-2024"/>
    <d v="2024-10-29T04:16:29"/>
    <s v="Mobile Cover"/>
    <n v="4"/>
    <n v="1200"/>
    <s v="West"/>
    <x v="363"/>
    <n v="4800"/>
  </r>
  <r>
    <s v="Oct-2024"/>
    <d v="2024-10-29T15:57:46"/>
    <s v="Laptop Bag"/>
    <n v="4"/>
    <n v="450"/>
    <s v="South"/>
    <x v="91"/>
    <n v="1800"/>
  </r>
  <r>
    <s v="Oct-2024"/>
    <d v="2024-10-30T03:39:02"/>
    <s v="Headphones"/>
    <n v="6"/>
    <n v="1200"/>
    <s v="North"/>
    <x v="155"/>
    <n v="7200"/>
  </r>
  <r>
    <s v="Oct-2024"/>
    <d v="2024-10-30T15:20:18"/>
    <s v="Keyboard"/>
    <n v="2"/>
    <n v="1800"/>
    <s v="South"/>
    <x v="290"/>
    <n v="3600"/>
  </r>
  <r>
    <s v="Oct-2024"/>
    <d v="2024-10-31T03:01:34"/>
    <s v="Wireless Mouse"/>
    <n v="2"/>
    <n v="1800"/>
    <s v="South"/>
    <x v="172"/>
    <n v="3600"/>
  </r>
  <r>
    <s v="Oct-2024"/>
    <d v="2024-10-31T14:42:50"/>
    <s v="Keyboard"/>
    <n v="2"/>
    <n v="150"/>
    <s v="South"/>
    <x v="44"/>
    <n v="300"/>
  </r>
  <r>
    <s v="Nov-2024"/>
    <d v="2024-11-01T02:24:06"/>
    <s v="Laptop Bag"/>
    <n v="6"/>
    <n v="700"/>
    <s v="North"/>
    <x v="374"/>
    <n v="4200"/>
  </r>
  <r>
    <s v="Nov-2024"/>
    <d v="2024-11-01T14:05:22"/>
    <s v="Smart Watch"/>
    <n v="4"/>
    <n v="3500"/>
    <s v="East"/>
    <x v="471"/>
    <n v="14000"/>
  </r>
  <r>
    <s v="Nov-2024"/>
    <d v="2024-11-02T01:46:38"/>
    <s v="Keyboard"/>
    <n v="1"/>
    <n v="1200"/>
    <s v="North"/>
    <x v="185"/>
    <n v="1200"/>
  </r>
  <r>
    <s v="Nov-2024"/>
    <d v="2024-11-02T13:27:54"/>
    <s v="Mobile Cover"/>
    <n v="6"/>
    <n v="3500"/>
    <s v="South"/>
    <x v="50"/>
    <n v="21000"/>
  </r>
  <r>
    <s v="Nov-2024"/>
    <d v="2024-11-03T01:09:10"/>
    <s v="Laptop Bag"/>
    <n v="6"/>
    <n v="150"/>
    <s v="North"/>
    <x v="230"/>
    <n v="900"/>
  </r>
  <r>
    <s v="Nov-2024"/>
    <d v="2024-11-03T12:50:26"/>
    <s v="Smart Watch"/>
    <n v="1"/>
    <n v="700"/>
    <s v="West"/>
    <x v="211"/>
    <n v="700"/>
  </r>
  <r>
    <s v="Nov-2024"/>
    <d v="2024-11-04T00:31:42"/>
    <s v="Wireless Mouse"/>
    <n v="2"/>
    <n v="1200"/>
    <s v="East"/>
    <x v="234"/>
    <n v="2400"/>
  </r>
  <r>
    <s v="Nov-2024"/>
    <d v="2024-11-04T12:12:58"/>
    <s v="Smart Watch"/>
    <n v="5"/>
    <n v="450"/>
    <s v="North"/>
    <x v="142"/>
    <n v="2250"/>
  </r>
  <r>
    <s v="Nov-2024"/>
    <d v="2024-11-04T23:54:14"/>
    <s v="Mobile Cover"/>
    <n v="1"/>
    <n v="700"/>
    <s v="West"/>
    <x v="174"/>
    <n v="700"/>
  </r>
  <r>
    <s v="Nov-2024"/>
    <d v="2024-11-05T11:35:30"/>
    <s v="Laptop Bag"/>
    <n v="4"/>
    <n v="1800"/>
    <s v="East"/>
    <x v="180"/>
    <n v="7200"/>
  </r>
  <r>
    <s v="Nov-2024"/>
    <d v="2024-11-05T23:16:46"/>
    <s v="Wireless Mouse"/>
    <n v="3"/>
    <n v="150"/>
    <s v="West"/>
    <x v="123"/>
    <n v="450"/>
  </r>
  <r>
    <s v="Nov-2024"/>
    <d v="2024-11-06T10:58:02"/>
    <s v="Mobile Cover"/>
    <n v="3"/>
    <n v="700"/>
    <s v="East"/>
    <x v="31"/>
    <n v="2100"/>
  </r>
  <r>
    <s v="Nov-2024"/>
    <d v="2024-11-06T22:39:18"/>
    <s v="Smart Watch"/>
    <n v="6"/>
    <n v="700"/>
    <s v="North"/>
    <x v="338"/>
    <n v="4200"/>
  </r>
  <r>
    <s v="Nov-2024"/>
    <d v="2024-11-07T10:20:34"/>
    <s v="Mobile Cover"/>
    <n v="3"/>
    <n v="1800"/>
    <s v="West"/>
    <x v="36"/>
    <n v="5400"/>
  </r>
  <r>
    <s v="Nov-2024"/>
    <d v="2024-11-07T22:01:50"/>
    <s v="Laptop Bag"/>
    <n v="5"/>
    <n v="1200"/>
    <s v="South"/>
    <x v="354"/>
    <n v="6000"/>
  </r>
  <r>
    <s v="Nov-2024"/>
    <d v="2024-11-08T09:43:07"/>
    <s v="Headphones"/>
    <n v="2"/>
    <n v="450"/>
    <s v="West"/>
    <x v="24"/>
    <n v="900"/>
  </r>
  <r>
    <s v="Nov-2024"/>
    <d v="2024-11-08T21:24:23"/>
    <s v="Mobile Cover"/>
    <n v="4"/>
    <n v="1800"/>
    <s v="East"/>
    <x v="354"/>
    <n v="7200"/>
  </r>
  <r>
    <s v="Nov-2024"/>
    <d v="2024-11-09T09:05:39"/>
    <s v="Mobile Cover"/>
    <n v="5"/>
    <n v="450"/>
    <s v="North"/>
    <x v="72"/>
    <n v="2250"/>
  </r>
  <r>
    <s v="Nov-2024"/>
    <d v="2024-11-09T20:46:55"/>
    <s v="Smart Watch"/>
    <n v="4"/>
    <n v="1200"/>
    <s v="East"/>
    <x v="244"/>
    <n v="4800"/>
  </r>
  <r>
    <s v="Nov-2024"/>
    <d v="2024-11-10T08:28:11"/>
    <s v="Smart Watch"/>
    <n v="4"/>
    <n v="700"/>
    <s v="West"/>
    <x v="474"/>
    <n v="2800"/>
  </r>
  <r>
    <s v="Nov-2024"/>
    <d v="2024-11-10T20:09:27"/>
    <s v="Wireless Mouse"/>
    <n v="2"/>
    <n v="450"/>
    <s v="West"/>
    <x v="18"/>
    <n v="900"/>
  </r>
  <r>
    <s v="Nov-2024"/>
    <d v="2024-11-11T07:50:43"/>
    <s v="Smart Watch"/>
    <n v="6"/>
    <n v="150"/>
    <s v="South"/>
    <x v="57"/>
    <n v="900"/>
  </r>
  <r>
    <s v="Nov-2024"/>
    <d v="2024-11-11T19:31:59"/>
    <s v="Keyboard"/>
    <n v="3"/>
    <n v="150"/>
    <s v="North"/>
    <x v="340"/>
    <n v="450"/>
  </r>
  <r>
    <s v="Nov-2024"/>
    <d v="2024-11-12T07:13:15"/>
    <s v="Laptop Bag"/>
    <n v="2"/>
    <n v="1800"/>
    <s v="North"/>
    <x v="26"/>
    <n v="3600"/>
  </r>
  <r>
    <s v="Nov-2024"/>
    <d v="2024-11-12T18:54:31"/>
    <s v="Laptop Bag"/>
    <n v="5"/>
    <n v="1200"/>
    <s v="West"/>
    <x v="146"/>
    <n v="6000"/>
  </r>
  <r>
    <s v="Nov-2024"/>
    <d v="2024-11-13T06:35:47"/>
    <s v="Headphones"/>
    <n v="6"/>
    <n v="1800"/>
    <s v="North"/>
    <x v="273"/>
    <n v="10800"/>
  </r>
  <r>
    <s v="Nov-2024"/>
    <d v="2024-11-13T18:17:03"/>
    <s v="Headphones"/>
    <n v="5"/>
    <n v="1800"/>
    <s v="South"/>
    <x v="475"/>
    <n v="9000"/>
  </r>
  <r>
    <s v="Nov-2024"/>
    <d v="2024-11-14T05:58:19"/>
    <s v="Laptop Bag"/>
    <n v="6"/>
    <n v="3500"/>
    <s v="East"/>
    <x v="153"/>
    <n v="21000"/>
  </r>
  <r>
    <s v="Nov-2024"/>
    <d v="2024-11-14T17:39:35"/>
    <s v="Headphones"/>
    <n v="5"/>
    <n v="1800"/>
    <s v="North"/>
    <x v="155"/>
    <n v="9000"/>
  </r>
  <r>
    <s v="Nov-2024"/>
    <d v="2024-11-15T05:20:51"/>
    <s v="Wireless Mouse"/>
    <n v="2"/>
    <n v="3500"/>
    <s v="West"/>
    <x v="150"/>
    <n v="7000"/>
  </r>
  <r>
    <s v="Nov-2024"/>
    <d v="2024-11-15T17:02:07"/>
    <s v="Smart Watch"/>
    <n v="6"/>
    <n v="150"/>
    <s v="East"/>
    <x v="115"/>
    <n v="900"/>
  </r>
  <r>
    <s v="Nov-2024"/>
    <d v="2024-11-16T04:43:23"/>
    <s v="Laptop Bag"/>
    <n v="6"/>
    <n v="150"/>
    <s v="East"/>
    <x v="364"/>
    <n v="900"/>
  </r>
  <r>
    <s v="Nov-2024"/>
    <d v="2024-11-16T16:24:39"/>
    <s v="Headphones"/>
    <n v="4"/>
    <n v="1800"/>
    <s v="South"/>
    <x v="445"/>
    <n v="7200"/>
  </r>
  <r>
    <s v="Nov-2024"/>
    <d v="2024-11-17T04:05:55"/>
    <s v="Laptop Bag"/>
    <n v="4"/>
    <n v="150"/>
    <s v="West"/>
    <x v="234"/>
    <n v="600"/>
  </r>
  <r>
    <s v="Nov-2024"/>
    <d v="2024-11-17T15:47:11"/>
    <s v="Keyboard"/>
    <n v="1"/>
    <n v="1200"/>
    <s v="North"/>
    <x v="439"/>
    <n v="1200"/>
  </r>
  <r>
    <s v="Nov-2024"/>
    <d v="2024-11-18T03:28:28"/>
    <s v="Mobile Cover"/>
    <n v="5"/>
    <n v="3500"/>
    <s v="West"/>
    <x v="192"/>
    <n v="17500"/>
  </r>
  <r>
    <s v="Nov-2024"/>
    <d v="2024-11-18T15:09:44"/>
    <s v="Smart Watch"/>
    <n v="4"/>
    <n v="3500"/>
    <s v="East"/>
    <x v="3"/>
    <n v="14000"/>
  </r>
  <r>
    <s v="Nov-2024"/>
    <d v="2024-11-19T02:51:00"/>
    <s v="Laptop Bag"/>
    <n v="1"/>
    <n v="1800"/>
    <s v="West"/>
    <x v="176"/>
    <n v="1800"/>
  </r>
  <r>
    <s v="Nov-2024"/>
    <d v="2024-11-19T14:32:16"/>
    <s v="Mobile Cover"/>
    <n v="4"/>
    <n v="150"/>
    <s v="North"/>
    <x v="348"/>
    <n v="600"/>
  </r>
  <r>
    <s v="Nov-2024"/>
    <d v="2024-11-20T02:13:32"/>
    <s v="Headphones"/>
    <n v="5"/>
    <n v="450"/>
    <s v="North"/>
    <x v="235"/>
    <n v="2250"/>
  </r>
  <r>
    <s v="Nov-2024"/>
    <d v="2024-11-20T13:54:48"/>
    <s v="Mobile Cover"/>
    <n v="6"/>
    <n v="3500"/>
    <s v="South"/>
    <x v="416"/>
    <n v="21000"/>
  </r>
  <r>
    <s v="Nov-2024"/>
    <d v="2024-11-21T01:36:04"/>
    <s v="Smart Watch"/>
    <n v="3"/>
    <n v="1800"/>
    <s v="North"/>
    <x v="400"/>
    <n v="5400"/>
  </r>
  <r>
    <s v="Nov-2024"/>
    <d v="2024-11-21T13:17:20"/>
    <s v="Laptop Bag"/>
    <n v="5"/>
    <n v="1800"/>
    <s v="North"/>
    <x v="280"/>
    <n v="9000"/>
  </r>
  <r>
    <s v="Nov-2024"/>
    <d v="2024-11-22T00:58:36"/>
    <s v="Keyboard"/>
    <n v="2"/>
    <n v="1200"/>
    <s v="West"/>
    <x v="270"/>
    <n v="2400"/>
  </r>
  <r>
    <s v="Nov-2024"/>
    <d v="2024-11-22T12:39:52"/>
    <s v="Headphones"/>
    <n v="4"/>
    <n v="700"/>
    <s v="West"/>
    <x v="437"/>
    <n v="2800"/>
  </r>
  <r>
    <s v="Nov-2024"/>
    <d v="2024-11-23T00:21:08"/>
    <s v="Laptop Bag"/>
    <n v="4"/>
    <n v="700"/>
    <s v="East"/>
    <x v="346"/>
    <n v="2800"/>
  </r>
  <r>
    <s v="Nov-2024"/>
    <d v="2024-11-23T12:02:24"/>
    <s v="Smart Watch"/>
    <n v="6"/>
    <n v="3500"/>
    <s v="South"/>
    <x v="28"/>
    <n v="21000"/>
  </r>
  <r>
    <s v="Nov-2024"/>
    <d v="2024-11-23T23:43:40"/>
    <s v="Headphones"/>
    <n v="2"/>
    <n v="1200"/>
    <s v="West"/>
    <x v="80"/>
    <n v="2400"/>
  </r>
  <r>
    <s v="Nov-2024"/>
    <d v="2024-11-24T11:24:56"/>
    <s v="Wireless Mouse"/>
    <n v="6"/>
    <n v="1200"/>
    <s v="North"/>
    <x v="105"/>
    <n v="7200"/>
  </r>
  <r>
    <s v="Nov-2024"/>
    <d v="2024-11-24T23:06:12"/>
    <s v="Mobile Cover"/>
    <n v="2"/>
    <n v="1200"/>
    <s v="East"/>
    <x v="253"/>
    <n v="2400"/>
  </r>
  <r>
    <s v="Nov-2024"/>
    <d v="2024-11-25T10:47:28"/>
    <s v="Smart Watch"/>
    <n v="3"/>
    <n v="3500"/>
    <s v="West"/>
    <x v="334"/>
    <n v="10500"/>
  </r>
  <r>
    <s v="Nov-2024"/>
    <d v="2024-11-25T22:28:44"/>
    <s v="Wireless Mouse"/>
    <n v="4"/>
    <n v="700"/>
    <s v="South"/>
    <x v="354"/>
    <n v="2800"/>
  </r>
  <r>
    <s v="Nov-2024"/>
    <d v="2024-11-26T10:10:00"/>
    <s v="Laptop Bag"/>
    <n v="4"/>
    <n v="1200"/>
    <s v="South"/>
    <x v="26"/>
    <n v="4800"/>
  </r>
  <r>
    <s v="Nov-2024"/>
    <d v="2024-11-26T21:51:16"/>
    <s v="Keyboard"/>
    <n v="3"/>
    <n v="150"/>
    <s v="East"/>
    <x v="150"/>
    <n v="450"/>
  </r>
  <r>
    <s v="Nov-2024"/>
    <d v="2024-11-27T09:32:33"/>
    <s v="Headphones"/>
    <n v="1"/>
    <n v="1800"/>
    <s v="East"/>
    <x v="141"/>
    <n v="1800"/>
  </r>
  <r>
    <s v="Nov-2024"/>
    <d v="2024-11-27T21:13:49"/>
    <s v="Mobile Cover"/>
    <n v="6"/>
    <n v="1800"/>
    <s v="East"/>
    <x v="377"/>
    <n v="10800"/>
  </r>
  <r>
    <s v="Nov-2024"/>
    <d v="2024-11-28T08:55:05"/>
    <s v="Headphones"/>
    <n v="3"/>
    <n v="450"/>
    <s v="East"/>
    <x v="383"/>
    <n v="1350"/>
  </r>
  <r>
    <s v="Nov-2024"/>
    <d v="2024-11-28T20:36:21"/>
    <s v="Laptop Bag"/>
    <n v="6"/>
    <n v="450"/>
    <s v="East"/>
    <x v="224"/>
    <n v="2700"/>
  </r>
  <r>
    <s v="Nov-2024"/>
    <d v="2024-11-29T08:17:37"/>
    <s v="Headphones"/>
    <n v="5"/>
    <n v="3500"/>
    <s v="North"/>
    <x v="476"/>
    <n v="17500"/>
  </r>
  <r>
    <s v="Nov-2024"/>
    <d v="2024-11-29T19:58:53"/>
    <s v="Mobile Cover"/>
    <n v="4"/>
    <n v="3500"/>
    <s v="North"/>
    <x v="207"/>
    <n v="14000"/>
  </r>
  <r>
    <s v="Nov-2024"/>
    <d v="2024-11-30T07:40:09"/>
    <s v="Laptop Bag"/>
    <n v="6"/>
    <n v="1800"/>
    <s v="West"/>
    <x v="443"/>
    <n v="10800"/>
  </r>
  <r>
    <s v="Nov-2024"/>
    <d v="2024-11-30T19:21:25"/>
    <s v="Headphones"/>
    <n v="2"/>
    <n v="150"/>
    <s v="South"/>
    <x v="137"/>
    <n v="300"/>
  </r>
  <r>
    <s v="Dec-2024"/>
    <d v="2024-12-01T07:02:41"/>
    <s v="Keyboard"/>
    <n v="6"/>
    <n v="700"/>
    <s v="North"/>
    <x v="112"/>
    <n v="4200"/>
  </r>
  <r>
    <s v="Dec-2024"/>
    <d v="2024-12-01T18:43:57"/>
    <s v="Smart Watch"/>
    <n v="5"/>
    <n v="700"/>
    <s v="North"/>
    <x v="86"/>
    <n v="3500"/>
  </r>
  <r>
    <s v="Dec-2024"/>
    <d v="2024-12-02T06:25:13"/>
    <s v="Laptop Bag"/>
    <n v="4"/>
    <n v="3500"/>
    <s v="North"/>
    <x v="356"/>
    <n v="14000"/>
  </r>
  <r>
    <s v="Dec-2024"/>
    <d v="2024-12-02T18:06:29"/>
    <s v="Smart Watch"/>
    <n v="3"/>
    <n v="150"/>
    <s v="West"/>
    <x v="477"/>
    <n v="450"/>
  </r>
  <r>
    <s v="Dec-2024"/>
    <d v="2024-12-03T05:47:45"/>
    <s v="Laptop Bag"/>
    <n v="5"/>
    <n v="3500"/>
    <s v="East"/>
    <x v="118"/>
    <n v="17500"/>
  </r>
  <r>
    <s v="Dec-2024"/>
    <d v="2024-12-03T17:29:01"/>
    <s v="Keyboard"/>
    <n v="4"/>
    <n v="700"/>
    <s v="West"/>
    <x v="374"/>
    <n v="2800"/>
  </r>
  <r>
    <s v="Dec-2024"/>
    <d v="2024-12-04T05:10:17"/>
    <s v="Smart Watch"/>
    <n v="6"/>
    <n v="3500"/>
    <s v="South"/>
    <x v="163"/>
    <n v="21000"/>
  </r>
  <r>
    <s v="Dec-2024"/>
    <d v="2024-12-04T16:51:33"/>
    <s v="Wireless Mouse"/>
    <n v="1"/>
    <n v="1200"/>
    <s v="South"/>
    <x v="248"/>
    <n v="1200"/>
  </r>
  <r>
    <s v="Dec-2024"/>
    <d v="2024-12-05T04:32:49"/>
    <s v="Mobile Cover"/>
    <n v="1"/>
    <n v="3500"/>
    <s v="South"/>
    <x v="294"/>
    <n v="3500"/>
  </r>
  <r>
    <s v="Dec-2024"/>
    <d v="2024-12-05T16:14:05"/>
    <s v="Wireless Mouse"/>
    <n v="2"/>
    <n v="1800"/>
    <s v="South"/>
    <x v="242"/>
    <n v="3600"/>
  </r>
  <r>
    <s v="Dec-2024"/>
    <d v="2024-12-06T03:55:21"/>
    <s v="Headphones"/>
    <n v="4"/>
    <n v="3500"/>
    <s v="North"/>
    <x v="478"/>
    <n v="14000"/>
  </r>
  <r>
    <s v="Dec-2024"/>
    <d v="2024-12-06T15:36:37"/>
    <s v="Keyboard"/>
    <n v="1"/>
    <n v="1800"/>
    <s v="North"/>
    <x v="479"/>
    <n v="1800"/>
  </r>
  <r>
    <s v="Dec-2024"/>
    <d v="2024-12-07T03:17:54"/>
    <s v="Wireless Mouse"/>
    <n v="3"/>
    <n v="150"/>
    <s v="West"/>
    <x v="85"/>
    <n v="450"/>
  </r>
  <r>
    <s v="Dec-2024"/>
    <d v="2024-12-07T14:59:10"/>
    <s v="Laptop Bag"/>
    <n v="4"/>
    <n v="700"/>
    <s v="East"/>
    <x v="315"/>
    <n v="2800"/>
  </r>
  <r>
    <s v="Dec-2024"/>
    <d v="2024-12-08T02:40:26"/>
    <s v="Headphones"/>
    <n v="3"/>
    <n v="450"/>
    <s v="South"/>
    <x v="356"/>
    <n v="1350"/>
  </r>
  <r>
    <s v="Dec-2024"/>
    <d v="2024-12-08T14:21:42"/>
    <s v="Headphones"/>
    <n v="3"/>
    <n v="450"/>
    <s v="West"/>
    <x v="355"/>
    <n v="1350"/>
  </r>
  <r>
    <s v="Dec-2024"/>
    <d v="2024-12-09T02:02:58"/>
    <s v="Wireless Mouse"/>
    <n v="1"/>
    <n v="700"/>
    <s v="North"/>
    <x v="179"/>
    <n v="700"/>
  </r>
  <r>
    <s v="Dec-2024"/>
    <d v="2024-12-09T13:44:14"/>
    <s v="Wireless Mouse"/>
    <n v="4"/>
    <n v="450"/>
    <s v="North"/>
    <x v="272"/>
    <n v="1800"/>
  </r>
  <r>
    <s v="Dec-2024"/>
    <d v="2024-12-10T01:25:30"/>
    <s v="Keyboard"/>
    <n v="6"/>
    <n v="3500"/>
    <s v="East"/>
    <x v="370"/>
    <n v="21000"/>
  </r>
  <r>
    <s v="Dec-2024"/>
    <d v="2024-12-10T13:06:46"/>
    <s v="Mobile Cover"/>
    <n v="5"/>
    <n v="150"/>
    <s v="East"/>
    <x v="443"/>
    <n v="750"/>
  </r>
  <r>
    <s v="Dec-2024"/>
    <d v="2024-12-11T00:48:02"/>
    <s v="Wireless Mouse"/>
    <n v="1"/>
    <n v="150"/>
    <s v="East"/>
    <x v="172"/>
    <n v="150"/>
  </r>
  <r>
    <s v="Dec-2024"/>
    <d v="2024-12-11T12:29:18"/>
    <s v="Wireless Mouse"/>
    <n v="1"/>
    <n v="700"/>
    <s v="West"/>
    <x v="206"/>
    <n v="700"/>
  </r>
  <r>
    <s v="Dec-2024"/>
    <d v="2024-12-12T00:10:34"/>
    <s v="Smart Watch"/>
    <n v="6"/>
    <n v="450"/>
    <s v="North"/>
    <x v="383"/>
    <n v="2700"/>
  </r>
  <r>
    <s v="Dec-2024"/>
    <d v="2024-12-12T11:51:50"/>
    <s v="Laptop Bag"/>
    <n v="4"/>
    <n v="3500"/>
    <s v="North"/>
    <x v="250"/>
    <n v="14000"/>
  </r>
  <r>
    <s v="Dec-2024"/>
    <d v="2024-12-12T23:33:06"/>
    <s v="Smart Watch"/>
    <n v="4"/>
    <n v="150"/>
    <s v="East"/>
    <x v="407"/>
    <n v="600"/>
  </r>
  <r>
    <s v="Dec-2024"/>
    <d v="2024-12-13T11:14:22"/>
    <s v="Smart Watch"/>
    <n v="3"/>
    <n v="150"/>
    <s v="South"/>
    <x v="436"/>
    <n v="450"/>
  </r>
  <r>
    <s v="Dec-2024"/>
    <d v="2024-12-13T22:55:38"/>
    <s v="Headphones"/>
    <n v="6"/>
    <n v="1200"/>
    <s v="East"/>
    <x v="451"/>
    <n v="7200"/>
  </r>
  <r>
    <s v="Dec-2024"/>
    <d v="2024-12-14T10:36:54"/>
    <s v="Mobile Cover"/>
    <n v="6"/>
    <n v="1200"/>
    <s v="West"/>
    <x v="150"/>
    <n v="7200"/>
  </r>
  <r>
    <s v="Dec-2024"/>
    <d v="2024-12-14T22:18:10"/>
    <s v="Laptop Bag"/>
    <n v="4"/>
    <n v="150"/>
    <s v="East"/>
    <x v="80"/>
    <n v="600"/>
  </r>
  <r>
    <s v="Dec-2024"/>
    <d v="2024-12-15T09:59:26"/>
    <s v="Keyboard"/>
    <n v="3"/>
    <n v="700"/>
    <s v="East"/>
    <x v="302"/>
    <n v="2100"/>
  </r>
  <r>
    <s v="Dec-2024"/>
    <d v="2024-12-15T21:40:42"/>
    <s v="Keyboard"/>
    <n v="1"/>
    <n v="1800"/>
    <s v="West"/>
    <x v="39"/>
    <n v="1800"/>
  </r>
  <r>
    <s v="Dec-2024"/>
    <d v="2024-12-16T09:21:58"/>
    <s v="Wireless Mouse"/>
    <n v="2"/>
    <n v="1800"/>
    <s v="East"/>
    <x v="435"/>
    <n v="3600"/>
  </r>
  <r>
    <s v="Dec-2024"/>
    <d v="2024-12-16T21:03:15"/>
    <s v="Wireless Mouse"/>
    <n v="5"/>
    <n v="3500"/>
    <s v="North"/>
    <x v="302"/>
    <n v="17500"/>
  </r>
  <r>
    <s v="Dec-2024"/>
    <d v="2024-12-17T08:44:31"/>
    <s v="Keyboard"/>
    <n v="1"/>
    <n v="150"/>
    <s v="South"/>
    <x v="414"/>
    <n v="150"/>
  </r>
  <r>
    <s v="Dec-2024"/>
    <d v="2024-12-17T20:25:47"/>
    <s v="Wireless Mouse"/>
    <n v="4"/>
    <n v="150"/>
    <s v="East"/>
    <x v="441"/>
    <n v="600"/>
  </r>
  <r>
    <s v="Dec-2024"/>
    <d v="2024-12-18T08:07:03"/>
    <s v="Mobile Cover"/>
    <n v="5"/>
    <n v="150"/>
    <s v="West"/>
    <x v="215"/>
    <n v="750"/>
  </r>
  <r>
    <s v="Dec-2024"/>
    <d v="2024-12-18T19:48:19"/>
    <s v="Smart Watch"/>
    <n v="2"/>
    <n v="700"/>
    <s v="South"/>
    <x v="464"/>
    <n v="1400"/>
  </r>
  <r>
    <s v="Dec-2024"/>
    <d v="2024-12-19T07:29:35"/>
    <s v="Wireless Mouse"/>
    <n v="2"/>
    <n v="1200"/>
    <s v="West"/>
    <x v="105"/>
    <n v="2400"/>
  </r>
  <r>
    <s v="Dec-2024"/>
    <d v="2024-12-19T19:10:51"/>
    <s v="Headphones"/>
    <n v="3"/>
    <n v="150"/>
    <s v="South"/>
    <x v="431"/>
    <n v="450"/>
  </r>
  <r>
    <s v="Dec-2024"/>
    <d v="2024-12-20T06:52:07"/>
    <s v="Wireless Mouse"/>
    <n v="5"/>
    <n v="150"/>
    <s v="South"/>
    <x v="303"/>
    <n v="750"/>
  </r>
  <r>
    <s v="Dec-2024"/>
    <d v="2024-12-20T18:33:23"/>
    <s v="Laptop Bag"/>
    <n v="3"/>
    <n v="450"/>
    <s v="East"/>
    <x v="355"/>
    <n v="1350"/>
  </r>
  <r>
    <s v="Dec-2024"/>
    <d v="2024-12-21T06:14:39"/>
    <s v="Mobile Cover"/>
    <n v="1"/>
    <n v="700"/>
    <s v="North"/>
    <x v="346"/>
    <n v="700"/>
  </r>
  <r>
    <s v="Dec-2024"/>
    <d v="2024-12-21T17:55:55"/>
    <s v="Laptop Bag"/>
    <n v="6"/>
    <n v="3500"/>
    <s v="East"/>
    <x v="96"/>
    <n v="21000"/>
  </r>
  <r>
    <s v="Dec-2024"/>
    <d v="2024-12-22T05:37:11"/>
    <s v="Laptop Bag"/>
    <n v="6"/>
    <n v="150"/>
    <s v="West"/>
    <x v="189"/>
    <n v="900"/>
  </r>
  <r>
    <s v="Dec-2024"/>
    <d v="2024-12-22T17:18:27"/>
    <s v="Headphones"/>
    <n v="6"/>
    <n v="450"/>
    <s v="West"/>
    <x v="226"/>
    <n v="2700"/>
  </r>
  <r>
    <s v="Dec-2024"/>
    <d v="2024-12-23T04:59:43"/>
    <s v="Mobile Cover"/>
    <n v="5"/>
    <n v="1800"/>
    <s v="South"/>
    <x v="73"/>
    <n v="9000"/>
  </r>
  <r>
    <s v="Dec-2024"/>
    <d v="2024-12-23T16:40:59"/>
    <s v="Mobile Cover"/>
    <n v="6"/>
    <n v="3500"/>
    <s v="South"/>
    <x v="360"/>
    <n v="21000"/>
  </r>
  <r>
    <s v="Dec-2024"/>
    <d v="2024-12-24T04:22:15"/>
    <s v="Mobile Cover"/>
    <n v="1"/>
    <n v="150"/>
    <s v="North"/>
    <x v="205"/>
    <n v="150"/>
  </r>
  <r>
    <s v="Dec-2024"/>
    <d v="2024-12-24T16:03:31"/>
    <s v="Mobile Cover"/>
    <n v="3"/>
    <n v="150"/>
    <s v="East"/>
    <x v="197"/>
    <n v="450"/>
  </r>
  <r>
    <s v="Dec-2024"/>
    <d v="2024-12-25T03:44:47"/>
    <s v="Mobile Cover"/>
    <n v="5"/>
    <n v="450"/>
    <s v="West"/>
    <x v="355"/>
    <n v="2250"/>
  </r>
  <r>
    <s v="Dec-2024"/>
    <d v="2024-12-25T15:26:03"/>
    <s v="Headphones"/>
    <n v="3"/>
    <n v="700"/>
    <s v="South"/>
    <x v="90"/>
    <n v="2100"/>
  </r>
  <r>
    <s v="Dec-2024"/>
    <d v="2024-12-26T03:07:19"/>
    <s v="Wireless Mouse"/>
    <n v="5"/>
    <n v="150"/>
    <s v="North"/>
    <x v="279"/>
    <n v="750"/>
  </r>
  <r>
    <s v="Dec-2024"/>
    <d v="2024-12-26T14:48:36"/>
    <s v="Laptop Bag"/>
    <n v="3"/>
    <n v="1800"/>
    <s v="West"/>
    <x v="158"/>
    <n v="5400"/>
  </r>
  <r>
    <s v="Dec-2024"/>
    <d v="2024-12-27T02:29:52"/>
    <s v="Mobile Cover"/>
    <n v="2"/>
    <n v="150"/>
    <s v="South"/>
    <x v="241"/>
    <n v="300"/>
  </r>
  <r>
    <s v="Dec-2024"/>
    <d v="2024-12-27T14:11:08"/>
    <s v="Wireless Mouse"/>
    <n v="3"/>
    <n v="1800"/>
    <s v="West"/>
    <x v="144"/>
    <n v="5400"/>
  </r>
  <r>
    <s v="Dec-2024"/>
    <d v="2024-12-28T01:52:24"/>
    <s v="Wireless Mouse"/>
    <n v="6"/>
    <n v="3500"/>
    <s v="North"/>
    <x v="189"/>
    <n v="21000"/>
  </r>
  <r>
    <s v="Dec-2024"/>
    <d v="2024-12-28T13:33:40"/>
    <s v="Laptop Bag"/>
    <n v="2"/>
    <n v="3500"/>
    <s v="North"/>
    <x v="480"/>
    <n v="7000"/>
  </r>
  <r>
    <s v="Dec-2024"/>
    <d v="2024-12-29T01:14:56"/>
    <s v="Headphones"/>
    <n v="3"/>
    <n v="1200"/>
    <s v="West"/>
    <x v="474"/>
    <n v="3600"/>
  </r>
  <r>
    <s v="Dec-2024"/>
    <d v="2024-12-29T12:56:12"/>
    <s v="Keyboard"/>
    <n v="5"/>
    <n v="1200"/>
    <s v="East"/>
    <x v="416"/>
    <n v="6000"/>
  </r>
  <r>
    <s v="Dec-2024"/>
    <d v="2024-12-30T00:37:28"/>
    <s v="Keyboard"/>
    <n v="5"/>
    <n v="1800"/>
    <s v="West"/>
    <x v="307"/>
    <n v="9000"/>
  </r>
  <r>
    <s v="Dec-2024"/>
    <d v="2024-12-30T12:18:44"/>
    <s v="Wireless Mouse"/>
    <n v="5"/>
    <n v="700"/>
    <s v="South"/>
    <x v="372"/>
    <n v="3500"/>
  </r>
  <r>
    <s v="Dec-2024"/>
    <d v="2024-12-31T00:00:00"/>
    <s v="Smart Watch"/>
    <n v="4"/>
    <n v="150"/>
    <s v="East"/>
    <x v="239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2:H7" firstHeaderRow="1" firstDataRow="1" firstDataCol="1"/>
  <pivotFields count="7">
    <pivotField numFmtId="14" showAll="0"/>
    <pivotField showAll="0"/>
    <pivotField numFmtId="1" showAll="0"/>
    <pivotField numFmtId="164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Revenue" fld="6" baseField="4" baseItem="2" numFmtId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D2:E9" firstHeaderRow="1" firstDataRow="1" firstDataCol="1"/>
  <pivotFields count="7">
    <pivotField numFmtId="14" showAll="0"/>
    <pivotField axis="axisRow" showAll="0" measureFilter="1" sortType="descending">
      <items count="7">
        <item x="1"/>
        <item x="0"/>
        <item x="3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showAll="0"/>
    <pivotField dataField="1" numFmtId="164" showAll="0"/>
  </pivotFields>
  <rowFields count="1">
    <field x="1"/>
  </rowFields>
  <rowItems count="7">
    <i>
      <x v="3"/>
    </i>
    <i>
      <x v="2"/>
    </i>
    <i>
      <x v="4"/>
    </i>
    <i>
      <x/>
    </i>
    <i>
      <x v="5"/>
    </i>
    <i>
      <x v="1"/>
    </i>
    <i t="grand">
      <x/>
    </i>
  </rowItems>
  <colItems count="1">
    <i/>
  </colItems>
  <dataFields count="1">
    <dataField name="Sum of TotalRevenue" fld="6" baseField="1" baseItem="3" numFmtId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J2:K27" firstHeaderRow="1" firstDataRow="1" firstDataCol="1"/>
  <pivotFields count="8">
    <pivotField axis="axisRow" showAll="0">
      <items count="26">
        <item x="3"/>
        <item x="15"/>
        <item x="7"/>
        <item x="19"/>
        <item x="11"/>
        <item x="23"/>
        <item x="1"/>
        <item x="13"/>
        <item x="0"/>
        <item x="12"/>
        <item x="6"/>
        <item x="18"/>
        <item x="5"/>
        <item x="17"/>
        <item x="2"/>
        <item x="14"/>
        <item x="4"/>
        <item x="16"/>
        <item x="10"/>
        <item x="22"/>
        <item x="9"/>
        <item x="21"/>
        <item x="8"/>
        <item x="20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Revenue" fld="7" baseField="0" baseItem="6" numFmtId="3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:B8" firstHeaderRow="1" firstDataRow="1" firstDataCol="1"/>
  <pivotFields count="8">
    <pivotField showAll="0"/>
    <pivotField numFmtId="14" showAll="0"/>
    <pivotField showAll="0"/>
    <pivotField numFmtId="1" showAll="0"/>
    <pivotField numFmtId="164" showAll="0"/>
    <pivotField showAll="0"/>
    <pivotField axis="axisRow" showAll="0" measureFilter="1" sortType="descending">
      <items count="482">
        <item x="450"/>
        <item x="126"/>
        <item x="275"/>
        <item x="255"/>
        <item x="46"/>
        <item x="185"/>
        <item x="440"/>
        <item x="165"/>
        <item x="353"/>
        <item x="42"/>
        <item x="301"/>
        <item x="323"/>
        <item x="199"/>
        <item x="176"/>
        <item x="394"/>
        <item x="370"/>
        <item x="168"/>
        <item x="102"/>
        <item x="203"/>
        <item x="194"/>
        <item x="335"/>
        <item x="161"/>
        <item x="31"/>
        <item x="192"/>
        <item x="337"/>
        <item x="443"/>
        <item x="422"/>
        <item x="130"/>
        <item x="148"/>
        <item x="453"/>
        <item x="459"/>
        <item x="345"/>
        <item x="445"/>
        <item x="401"/>
        <item x="118"/>
        <item x="352"/>
        <item x="391"/>
        <item x="108"/>
        <item x="387"/>
        <item x="385"/>
        <item x="325"/>
        <item x="56"/>
        <item x="235"/>
        <item x="407"/>
        <item x="285"/>
        <item x="297"/>
        <item x="214"/>
        <item x="437"/>
        <item x="149"/>
        <item x="469"/>
        <item x="308"/>
        <item x="465"/>
        <item x="119"/>
        <item x="393"/>
        <item x="187"/>
        <item x="124"/>
        <item x="184"/>
        <item x="116"/>
        <item x="204"/>
        <item x="303"/>
        <item x="215"/>
        <item x="72"/>
        <item x="33"/>
        <item x="363"/>
        <item x="284"/>
        <item x="95"/>
        <item x="238"/>
        <item x="178"/>
        <item x="38"/>
        <item x="292"/>
        <item x="357"/>
        <item x="26"/>
        <item x="360"/>
        <item x="173"/>
        <item x="318"/>
        <item x="479"/>
        <item x="283"/>
        <item x="382"/>
        <item x="302"/>
        <item x="429"/>
        <item x="65"/>
        <item x="372"/>
        <item x="71"/>
        <item x="135"/>
        <item x="101"/>
        <item x="473"/>
        <item x="256"/>
        <item x="142"/>
        <item x="361"/>
        <item x="259"/>
        <item x="12"/>
        <item x="248"/>
        <item x="163"/>
        <item x="208"/>
        <item x="152"/>
        <item x="428"/>
        <item x="144"/>
        <item x="405"/>
        <item x="54"/>
        <item x="257"/>
        <item x="371"/>
        <item x="132"/>
        <item x="410"/>
        <item x="398"/>
        <item x="153"/>
        <item x="97"/>
        <item x="51"/>
        <item x="475"/>
        <item x="431"/>
        <item x="79"/>
        <item x="438"/>
        <item x="36"/>
        <item x="467"/>
        <item x="305"/>
        <item x="210"/>
        <item x="404"/>
        <item x="330"/>
        <item x="240"/>
        <item x="356"/>
        <item x="294"/>
        <item x="220"/>
        <item x="69"/>
        <item x="316"/>
        <item x="424"/>
        <item x="64"/>
        <item x="413"/>
        <item x="464"/>
        <item x="362"/>
        <item x="229"/>
        <item x="23"/>
        <item x="110"/>
        <item x="264"/>
        <item x="63"/>
        <item x="169"/>
        <item x="29"/>
        <item x="87"/>
        <item x="312"/>
        <item x="170"/>
        <item x="197"/>
        <item x="364"/>
        <item x="338"/>
        <item x="76"/>
        <item x="272"/>
        <item x="105"/>
        <item x="45"/>
        <item x="434"/>
        <item x="460"/>
        <item x="395"/>
        <item x="73"/>
        <item x="232"/>
        <item x="389"/>
        <item x="423"/>
        <item x="58"/>
        <item x="53"/>
        <item x="217"/>
        <item x="336"/>
        <item x="162"/>
        <item x="427"/>
        <item x="478"/>
        <item x="408"/>
        <item x="231"/>
        <item x="461"/>
        <item x="250"/>
        <item x="57"/>
        <item x="66"/>
        <item x="477"/>
        <item x="452"/>
        <item x="466"/>
        <item x="112"/>
        <item x="55"/>
        <item x="157"/>
        <item x="67"/>
        <item x="5"/>
        <item x="386"/>
        <item x="0"/>
        <item x="224"/>
        <item x="128"/>
        <item x="367"/>
        <item x="166"/>
        <item x="156"/>
        <item x="106"/>
        <item x="270"/>
        <item x="227"/>
        <item x="47"/>
        <item x="463"/>
        <item x="123"/>
        <item x="196"/>
        <item x="379"/>
        <item x="114"/>
        <item x="233"/>
        <item x="261"/>
        <item x="115"/>
        <item x="426"/>
        <item x="136"/>
        <item x="293"/>
        <item x="433"/>
        <item x="17"/>
        <item x="160"/>
        <item x="9"/>
        <item x="43"/>
        <item x="262"/>
        <item x="80"/>
        <item x="287"/>
        <item x="400"/>
        <item x="190"/>
        <item x="419"/>
        <item x="415"/>
        <item x="141"/>
        <item x="247"/>
        <item x="454"/>
        <item x="145"/>
        <item x="343"/>
        <item x="279"/>
        <item x="298"/>
        <item x="104"/>
        <item x="333"/>
        <item x="260"/>
        <item x="245"/>
        <item x="350"/>
        <item x="435"/>
        <item x="280"/>
        <item x="444"/>
        <item x="451"/>
        <item x="30"/>
        <item x="3"/>
        <item x="177"/>
        <item x="125"/>
        <item x="181"/>
        <item x="109"/>
        <item x="311"/>
        <item x="446"/>
        <item x="183"/>
        <item x="70"/>
        <item x="147"/>
        <item x="291"/>
        <item x="155"/>
        <item x="34"/>
        <item x="274"/>
        <item x="1"/>
        <item x="86"/>
        <item x="324"/>
        <item x="455"/>
        <item x="286"/>
        <item x="457"/>
        <item x="304"/>
        <item x="228"/>
        <item x="380"/>
        <item x="409"/>
        <item x="175"/>
        <item x="319"/>
        <item x="237"/>
        <item x="468"/>
        <item x="299"/>
        <item x="131"/>
        <item x="432"/>
        <item x="180"/>
        <item x="278"/>
        <item x="52"/>
        <item x="310"/>
        <item x="167"/>
        <item x="462"/>
        <item x="334"/>
        <item x="390"/>
        <item x="92"/>
        <item x="151"/>
        <item x="282"/>
        <item x="230"/>
        <item x="288"/>
        <item x="39"/>
        <item x="49"/>
        <item x="6"/>
        <item x="332"/>
        <item x="243"/>
        <item x="27"/>
        <item x="216"/>
        <item x="476"/>
        <item x="32"/>
        <item x="269"/>
        <item x="327"/>
        <item x="331"/>
        <item x="85"/>
        <item x="470"/>
        <item x="11"/>
        <item x="267"/>
        <item x="306"/>
        <item x="265"/>
        <item x="359"/>
        <item x="474"/>
        <item x="91"/>
        <item x="99"/>
        <item x="10"/>
        <item x="188"/>
        <item x="375"/>
        <item x="129"/>
        <item x="449"/>
        <item x="439"/>
        <item x="179"/>
        <item x="117"/>
        <item x="241"/>
        <item x="219"/>
        <item x="317"/>
        <item x="277"/>
        <item x="212"/>
        <item x="347"/>
        <item x="340"/>
        <item x="447"/>
        <item x="154"/>
        <item x="369"/>
        <item x="44"/>
        <item x="223"/>
        <item x="328"/>
        <item x="339"/>
        <item x="213"/>
        <item x="436"/>
        <item x="281"/>
        <item x="448"/>
        <item x="309"/>
        <item x="133"/>
        <item x="315"/>
        <item x="296"/>
        <item x="159"/>
        <item x="388"/>
        <item x="171"/>
        <item x="354"/>
        <item x="368"/>
        <item x="62"/>
        <item x="366"/>
        <item x="430"/>
        <item x="355"/>
        <item x="417"/>
        <item x="111"/>
        <item x="225"/>
        <item x="480"/>
        <item x="377"/>
        <item x="122"/>
        <item x="252"/>
        <item x="60"/>
        <item x="226"/>
        <item x="411"/>
        <item x="2"/>
        <item x="344"/>
        <item x="399"/>
        <item x="121"/>
        <item x="396"/>
        <item x="4"/>
        <item x="384"/>
        <item x="96"/>
        <item x="98"/>
        <item x="403"/>
        <item x="88"/>
        <item x="24"/>
        <item x="68"/>
        <item x="381"/>
        <item x="18"/>
        <item x="239"/>
        <item x="84"/>
        <item x="246"/>
        <item x="348"/>
        <item x="28"/>
        <item x="263"/>
        <item x="93"/>
        <item x="75"/>
        <item x="137"/>
        <item x="322"/>
        <item x="139"/>
        <item x="249"/>
        <item x="420"/>
        <item x="201"/>
        <item x="7"/>
        <item x="341"/>
        <item x="74"/>
        <item x="19"/>
        <item x="94"/>
        <item x="195"/>
        <item x="200"/>
        <item x="471"/>
        <item x="276"/>
        <item x="397"/>
        <item x="373"/>
        <item x="376"/>
        <item x="412"/>
        <item x="221"/>
        <item x="202"/>
        <item x="25"/>
        <item x="266"/>
        <item x="458"/>
        <item x="207"/>
        <item x="40"/>
        <item x="158"/>
        <item x="342"/>
        <item x="189"/>
        <item x="35"/>
        <item x="414"/>
        <item x="374"/>
        <item x="22"/>
        <item x="289"/>
        <item x="418"/>
        <item x="329"/>
        <item x="182"/>
        <item x="209"/>
        <item x="402"/>
        <item x="191"/>
        <item x="206"/>
        <item x="349"/>
        <item x="222"/>
        <item x="20"/>
        <item x="134"/>
        <item x="258"/>
        <item x="295"/>
        <item x="8"/>
        <item x="346"/>
        <item x="416"/>
        <item x="174"/>
        <item x="320"/>
        <item x="314"/>
        <item x="211"/>
        <item x="78"/>
        <item x="61"/>
        <item x="392"/>
        <item x="89"/>
        <item x="421"/>
        <item x="140"/>
        <item x="150"/>
        <item x="253"/>
        <item x="313"/>
        <item x="48"/>
        <item x="120"/>
        <item x="383"/>
        <item x="138"/>
        <item x="82"/>
        <item x="13"/>
        <item x="41"/>
        <item x="127"/>
        <item x="236"/>
        <item x="107"/>
        <item x="100"/>
        <item x="251"/>
        <item x="218"/>
        <item x="456"/>
        <item x="15"/>
        <item x="143"/>
        <item x="244"/>
        <item x="300"/>
        <item x="14"/>
        <item x="273"/>
        <item x="198"/>
        <item x="90"/>
        <item x="50"/>
        <item x="326"/>
        <item x="307"/>
        <item x="268"/>
        <item x="271"/>
        <item x="81"/>
        <item x="186"/>
        <item x="59"/>
        <item x="16"/>
        <item x="77"/>
        <item x="193"/>
        <item x="425"/>
        <item x="103"/>
        <item x="358"/>
        <item x="365"/>
        <item x="406"/>
        <item x="378"/>
        <item x="83"/>
        <item x="290"/>
        <item x="242"/>
        <item x="472"/>
        <item x="234"/>
        <item x="321"/>
        <item x="441"/>
        <item x="37"/>
        <item x="205"/>
        <item x="21"/>
        <item x="164"/>
        <item x="254"/>
        <item x="146"/>
        <item x="172"/>
        <item x="113"/>
        <item x="442"/>
        <item x="3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6"/>
  </rowFields>
  <rowItems count="6">
    <i>
      <x v="71"/>
    </i>
    <i>
      <x v="358"/>
    </i>
    <i>
      <x v="196"/>
    </i>
    <i>
      <x v="109"/>
    </i>
    <i>
      <x v="17"/>
    </i>
    <i t="grand">
      <x/>
    </i>
  </rowItems>
  <colItems count="1">
    <i/>
  </colItems>
  <dataFields count="1">
    <dataField name="Sum of TotalRevenue" fld="7" baseField="6" baseItem="109" numFmtId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1"/>
  <sheetViews>
    <sheetView workbookViewId="0">
      <selection activeCell="G1" sqref="G1"/>
    </sheetView>
  </sheetViews>
  <sheetFormatPr defaultRowHeight="14.4" x14ac:dyDescent="0.3"/>
  <cols>
    <col min="1" max="2" width="11.44140625" style="2" customWidth="1"/>
    <col min="3" max="3" width="11.44140625" style="5" customWidth="1"/>
    <col min="4" max="4" width="11.44140625" style="3" customWidth="1"/>
    <col min="5" max="5" width="11.44140625" style="4" customWidth="1"/>
    <col min="6" max="7" width="11.44140625" style="5" customWidth="1"/>
    <col min="8" max="8" width="11" customWidth="1"/>
  </cols>
  <sheetData>
    <row r="1" spans="1:8" x14ac:dyDescent="0.3">
      <c r="A1" s="2" t="s">
        <v>506</v>
      </c>
      <c r="B1" s="2" t="s">
        <v>0</v>
      </c>
      <c r="C1" s="5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497</v>
      </c>
    </row>
    <row r="2" spans="1:8" x14ac:dyDescent="0.3">
      <c r="A2" s="2" t="str">
        <f>TEXT(B2, "mmm-yyyy")</f>
        <v>Jan-2023</v>
      </c>
      <c r="B2" s="2">
        <v>44927</v>
      </c>
      <c r="C2" s="5" t="s">
        <v>6</v>
      </c>
      <c r="D2" s="3">
        <v>6</v>
      </c>
      <c r="E2" s="4">
        <v>150</v>
      </c>
      <c r="F2" s="5" t="s">
        <v>7</v>
      </c>
      <c r="G2" s="5" t="s">
        <v>8</v>
      </c>
      <c r="H2" s="1">
        <f xml:space="preserve"> D2 * E2</f>
        <v>900</v>
      </c>
    </row>
    <row r="3" spans="1:8" x14ac:dyDescent="0.3">
      <c r="A3" s="2" t="str">
        <f t="shared" ref="A3:A66" si="0">TEXT(B3, "mmm-yyyy")</f>
        <v>Jan-2023</v>
      </c>
      <c r="B3" s="2">
        <v>44927.486991331018</v>
      </c>
      <c r="C3" s="5" t="s">
        <v>9</v>
      </c>
      <c r="D3" s="3">
        <v>2</v>
      </c>
      <c r="E3" s="4">
        <v>1800</v>
      </c>
      <c r="F3" s="5" t="s">
        <v>10</v>
      </c>
      <c r="G3" s="5" t="s">
        <v>11</v>
      </c>
      <c r="H3" s="1">
        <f t="shared" ref="H3:H66" si="1" xml:space="preserve"> D3 * E3</f>
        <v>3600</v>
      </c>
    </row>
    <row r="4" spans="1:8" x14ac:dyDescent="0.3">
      <c r="A4" s="2" t="str">
        <f t="shared" si="0"/>
        <v>Jan-2023</v>
      </c>
      <c r="B4" s="2">
        <v>44927.973982650466</v>
      </c>
      <c r="C4" s="5" t="s">
        <v>12</v>
      </c>
      <c r="D4" s="3">
        <v>4</v>
      </c>
      <c r="E4" s="4">
        <v>450</v>
      </c>
      <c r="F4" s="5" t="s">
        <v>13</v>
      </c>
      <c r="G4" s="5" t="s">
        <v>14</v>
      </c>
      <c r="H4" s="1">
        <f t="shared" si="1"/>
        <v>1800</v>
      </c>
    </row>
    <row r="5" spans="1:8" x14ac:dyDescent="0.3">
      <c r="A5" s="2" t="str">
        <f t="shared" si="0"/>
        <v>Jan-2023</v>
      </c>
      <c r="B5" s="2">
        <v>44928.460973981484</v>
      </c>
      <c r="C5" s="5" t="s">
        <v>9</v>
      </c>
      <c r="D5" s="3">
        <v>3</v>
      </c>
      <c r="E5" s="4">
        <v>1800</v>
      </c>
      <c r="F5" s="5" t="s">
        <v>13</v>
      </c>
      <c r="G5" s="5" t="s">
        <v>15</v>
      </c>
      <c r="H5" s="1">
        <f t="shared" si="1"/>
        <v>5400</v>
      </c>
    </row>
    <row r="6" spans="1:8" x14ac:dyDescent="0.3">
      <c r="A6" s="2" t="str">
        <f t="shared" si="0"/>
        <v>Jan-2023</v>
      </c>
      <c r="B6" s="2">
        <v>44928.947965312502</v>
      </c>
      <c r="C6" s="5" t="s">
        <v>9</v>
      </c>
      <c r="D6" s="3">
        <v>5</v>
      </c>
      <c r="E6" s="4">
        <v>1200</v>
      </c>
      <c r="F6" s="5" t="s">
        <v>7</v>
      </c>
      <c r="G6" s="5" t="s">
        <v>16</v>
      </c>
      <c r="H6" s="1">
        <f t="shared" si="1"/>
        <v>6000</v>
      </c>
    </row>
    <row r="7" spans="1:8" x14ac:dyDescent="0.3">
      <c r="A7" s="2" t="str">
        <f t="shared" si="0"/>
        <v>Jan-2023</v>
      </c>
      <c r="B7" s="2">
        <v>44929.434956643519</v>
      </c>
      <c r="C7" s="5" t="s">
        <v>17</v>
      </c>
      <c r="D7" s="3">
        <v>4</v>
      </c>
      <c r="E7" s="4">
        <v>3500</v>
      </c>
      <c r="F7" s="5" t="s">
        <v>10</v>
      </c>
      <c r="G7" s="5" t="s">
        <v>18</v>
      </c>
      <c r="H7" s="1">
        <f t="shared" si="1"/>
        <v>14000</v>
      </c>
    </row>
    <row r="8" spans="1:8" x14ac:dyDescent="0.3">
      <c r="A8" s="2" t="str">
        <f t="shared" si="0"/>
        <v>Jan-2023</v>
      </c>
      <c r="B8" s="2">
        <v>44929.921947962961</v>
      </c>
      <c r="C8" s="5" t="s">
        <v>12</v>
      </c>
      <c r="D8" s="3">
        <v>3</v>
      </c>
      <c r="E8" s="4">
        <v>450</v>
      </c>
      <c r="F8" s="5" t="s">
        <v>7</v>
      </c>
      <c r="G8" s="5" t="s">
        <v>19</v>
      </c>
      <c r="H8" s="1">
        <f t="shared" si="1"/>
        <v>1350</v>
      </c>
    </row>
    <row r="9" spans="1:8" x14ac:dyDescent="0.3">
      <c r="A9" s="2" t="str">
        <f t="shared" si="0"/>
        <v>Jan-2023</v>
      </c>
      <c r="B9" s="2">
        <v>44930.408939293979</v>
      </c>
      <c r="C9" s="5" t="s">
        <v>12</v>
      </c>
      <c r="D9" s="3">
        <v>3</v>
      </c>
      <c r="E9" s="4">
        <v>1200</v>
      </c>
      <c r="F9" s="5" t="s">
        <v>13</v>
      </c>
      <c r="G9" s="5" t="s">
        <v>20</v>
      </c>
      <c r="H9" s="1">
        <f t="shared" si="1"/>
        <v>3600</v>
      </c>
    </row>
    <row r="10" spans="1:8" x14ac:dyDescent="0.3">
      <c r="A10" s="2" t="str">
        <f t="shared" si="0"/>
        <v>Jan-2023</v>
      </c>
      <c r="B10" s="2">
        <v>44930.895930625004</v>
      </c>
      <c r="C10" s="5" t="s">
        <v>12</v>
      </c>
      <c r="D10" s="3">
        <v>1</v>
      </c>
      <c r="E10" s="4">
        <v>3500</v>
      </c>
      <c r="F10" s="5" t="s">
        <v>10</v>
      </c>
      <c r="G10" s="5" t="s">
        <v>21</v>
      </c>
      <c r="H10" s="1">
        <f t="shared" si="1"/>
        <v>3500</v>
      </c>
    </row>
    <row r="11" spans="1:8" x14ac:dyDescent="0.3">
      <c r="A11" s="2" t="str">
        <f t="shared" si="0"/>
        <v>Jan-2023</v>
      </c>
      <c r="B11" s="2">
        <v>44931.382921944445</v>
      </c>
      <c r="C11" s="5" t="s">
        <v>9</v>
      </c>
      <c r="D11" s="3">
        <v>5</v>
      </c>
      <c r="E11" s="4">
        <v>450</v>
      </c>
      <c r="F11" s="5" t="s">
        <v>10</v>
      </c>
      <c r="G11" s="5" t="s">
        <v>22</v>
      </c>
      <c r="H11" s="1">
        <f t="shared" si="1"/>
        <v>2250</v>
      </c>
    </row>
    <row r="12" spans="1:8" x14ac:dyDescent="0.3">
      <c r="A12" s="2" t="str">
        <f t="shared" si="0"/>
        <v>Jan-2023</v>
      </c>
      <c r="B12" s="2">
        <v>44931.869913275463</v>
      </c>
      <c r="C12" s="5" t="s">
        <v>6</v>
      </c>
      <c r="D12" s="3">
        <v>1</v>
      </c>
      <c r="E12" s="4">
        <v>700</v>
      </c>
      <c r="F12" s="5" t="s">
        <v>7</v>
      </c>
      <c r="G12" s="5" t="s">
        <v>23</v>
      </c>
      <c r="H12" s="1">
        <f t="shared" si="1"/>
        <v>700</v>
      </c>
    </row>
    <row r="13" spans="1:8" x14ac:dyDescent="0.3">
      <c r="A13" s="2" t="str">
        <f t="shared" si="0"/>
        <v>Jan-2023</v>
      </c>
      <c r="B13" s="2">
        <v>44932.35690460648</v>
      </c>
      <c r="C13" s="5" t="s">
        <v>12</v>
      </c>
      <c r="D13" s="3">
        <v>2</v>
      </c>
      <c r="E13" s="4">
        <v>150</v>
      </c>
      <c r="F13" s="5" t="s">
        <v>24</v>
      </c>
      <c r="G13" s="5" t="s">
        <v>25</v>
      </c>
      <c r="H13" s="1">
        <f t="shared" si="1"/>
        <v>300</v>
      </c>
    </row>
    <row r="14" spans="1:8" x14ac:dyDescent="0.3">
      <c r="A14" s="2" t="str">
        <f t="shared" si="0"/>
        <v>Jan-2023</v>
      </c>
      <c r="B14" s="2">
        <v>44932.843895925929</v>
      </c>
      <c r="C14" s="5" t="s">
        <v>26</v>
      </c>
      <c r="D14" s="3">
        <v>1</v>
      </c>
      <c r="E14" s="4">
        <v>150</v>
      </c>
      <c r="F14" s="5" t="s">
        <v>7</v>
      </c>
      <c r="G14" s="5" t="s">
        <v>27</v>
      </c>
      <c r="H14" s="1">
        <f t="shared" si="1"/>
        <v>150</v>
      </c>
    </row>
    <row r="15" spans="1:8" x14ac:dyDescent="0.3">
      <c r="A15" s="2" t="str">
        <f t="shared" si="0"/>
        <v>Jan-2023</v>
      </c>
      <c r="B15" s="2">
        <v>44933.330887256947</v>
      </c>
      <c r="C15" s="5" t="s">
        <v>9</v>
      </c>
      <c r="D15" s="3">
        <v>1</v>
      </c>
      <c r="E15" s="4">
        <v>1200</v>
      </c>
      <c r="F15" s="5" t="s">
        <v>13</v>
      </c>
      <c r="G15" s="5" t="s">
        <v>28</v>
      </c>
      <c r="H15" s="1">
        <f t="shared" si="1"/>
        <v>1200</v>
      </c>
    </row>
    <row r="16" spans="1:8" x14ac:dyDescent="0.3">
      <c r="A16" s="2" t="str">
        <f t="shared" si="0"/>
        <v>Jan-2023</v>
      </c>
      <c r="B16" s="2">
        <v>44933.817878587965</v>
      </c>
      <c r="C16" s="5" t="s">
        <v>17</v>
      </c>
      <c r="D16" s="3">
        <v>4</v>
      </c>
      <c r="E16" s="4">
        <v>3500</v>
      </c>
      <c r="F16" s="5" t="s">
        <v>13</v>
      </c>
      <c r="G16" s="5" t="s">
        <v>29</v>
      </c>
      <c r="H16" s="1">
        <f t="shared" si="1"/>
        <v>14000</v>
      </c>
    </row>
    <row r="17" spans="1:8" x14ac:dyDescent="0.3">
      <c r="A17" s="2" t="str">
        <f t="shared" si="0"/>
        <v>Jan-2023</v>
      </c>
      <c r="B17" s="2">
        <v>44934.304869918982</v>
      </c>
      <c r="C17" s="5" t="s">
        <v>6</v>
      </c>
      <c r="D17" s="3">
        <v>6</v>
      </c>
      <c r="E17" s="4">
        <v>150</v>
      </c>
      <c r="F17" s="5" t="s">
        <v>13</v>
      </c>
      <c r="G17" s="5" t="s">
        <v>30</v>
      </c>
      <c r="H17" s="1">
        <f t="shared" si="1"/>
        <v>900</v>
      </c>
    </row>
    <row r="18" spans="1:8" x14ac:dyDescent="0.3">
      <c r="A18" s="2" t="str">
        <f t="shared" si="0"/>
        <v>Jan-2023</v>
      </c>
      <c r="B18" s="2">
        <v>44934.791861238424</v>
      </c>
      <c r="C18" s="5" t="s">
        <v>26</v>
      </c>
      <c r="D18" s="3">
        <v>3</v>
      </c>
      <c r="E18" s="4">
        <v>3500</v>
      </c>
      <c r="F18" s="5" t="s">
        <v>13</v>
      </c>
      <c r="G18" s="5" t="s">
        <v>31</v>
      </c>
      <c r="H18" s="1">
        <f t="shared" si="1"/>
        <v>10500</v>
      </c>
    </row>
    <row r="19" spans="1:8" x14ac:dyDescent="0.3">
      <c r="A19" s="2" t="str">
        <f t="shared" si="0"/>
        <v>Jan-2023</v>
      </c>
      <c r="B19" s="2">
        <v>44935.278852569441</v>
      </c>
      <c r="C19" s="5" t="s">
        <v>26</v>
      </c>
      <c r="D19" s="3">
        <v>5</v>
      </c>
      <c r="E19" s="4">
        <v>3500</v>
      </c>
      <c r="F19" s="5" t="s">
        <v>13</v>
      </c>
      <c r="G19" s="5" t="s">
        <v>32</v>
      </c>
      <c r="H19" s="1">
        <f t="shared" si="1"/>
        <v>17500</v>
      </c>
    </row>
    <row r="20" spans="1:8" x14ac:dyDescent="0.3">
      <c r="A20" s="2" t="str">
        <f t="shared" si="0"/>
        <v>Jan-2023</v>
      </c>
      <c r="B20" s="2">
        <v>44935.765843900466</v>
      </c>
      <c r="C20" s="5" t="s">
        <v>17</v>
      </c>
      <c r="D20" s="3">
        <v>1</v>
      </c>
      <c r="E20" s="4">
        <v>1200</v>
      </c>
      <c r="F20" s="5" t="s">
        <v>24</v>
      </c>
      <c r="G20" s="5" t="s">
        <v>33</v>
      </c>
      <c r="H20" s="1">
        <f t="shared" si="1"/>
        <v>1200</v>
      </c>
    </row>
    <row r="21" spans="1:8" x14ac:dyDescent="0.3">
      <c r="A21" s="2" t="str">
        <f t="shared" si="0"/>
        <v>Jan-2023</v>
      </c>
      <c r="B21" s="2">
        <v>44936.252835219908</v>
      </c>
      <c r="C21" s="5" t="s">
        <v>6</v>
      </c>
      <c r="D21" s="3">
        <v>5</v>
      </c>
      <c r="E21" s="4">
        <v>1200</v>
      </c>
      <c r="F21" s="5" t="s">
        <v>10</v>
      </c>
      <c r="G21" s="5" t="s">
        <v>34</v>
      </c>
      <c r="H21" s="1">
        <f xml:space="preserve"> D21 * E21</f>
        <v>6000</v>
      </c>
    </row>
    <row r="22" spans="1:8" x14ac:dyDescent="0.3">
      <c r="A22" s="2" t="str">
        <f t="shared" si="0"/>
        <v>Jan-2023</v>
      </c>
      <c r="B22" s="2">
        <v>44936.739826550925</v>
      </c>
      <c r="C22" s="5" t="s">
        <v>9</v>
      </c>
      <c r="D22" s="3">
        <v>6</v>
      </c>
      <c r="E22" s="4">
        <v>1200</v>
      </c>
      <c r="F22" s="5" t="s">
        <v>7</v>
      </c>
      <c r="G22" s="5" t="s">
        <v>35</v>
      </c>
      <c r="H22" s="1">
        <f t="shared" si="1"/>
        <v>7200</v>
      </c>
    </row>
    <row r="23" spans="1:8" x14ac:dyDescent="0.3">
      <c r="A23" s="2" t="str">
        <f t="shared" si="0"/>
        <v>Jan-2023</v>
      </c>
      <c r="B23" s="2">
        <v>44937.226817881943</v>
      </c>
      <c r="C23" s="5" t="s">
        <v>36</v>
      </c>
      <c r="D23" s="3">
        <v>6</v>
      </c>
      <c r="E23" s="4">
        <v>150</v>
      </c>
      <c r="F23" s="5" t="s">
        <v>7</v>
      </c>
      <c r="G23" s="5" t="s">
        <v>37</v>
      </c>
      <c r="H23" s="1">
        <f t="shared" si="1"/>
        <v>900</v>
      </c>
    </row>
    <row r="24" spans="1:8" x14ac:dyDescent="0.3">
      <c r="A24" s="2" t="str">
        <f t="shared" si="0"/>
        <v>Jan-2023</v>
      </c>
      <c r="B24" s="2">
        <v>44937.713809201392</v>
      </c>
      <c r="C24" s="5" t="s">
        <v>6</v>
      </c>
      <c r="D24" s="3">
        <v>1</v>
      </c>
      <c r="E24" s="4">
        <v>1200</v>
      </c>
      <c r="F24" s="5" t="s">
        <v>13</v>
      </c>
      <c r="G24" s="5" t="s">
        <v>38</v>
      </c>
      <c r="H24" s="1">
        <f t="shared" si="1"/>
        <v>1200</v>
      </c>
    </row>
    <row r="25" spans="1:8" x14ac:dyDescent="0.3">
      <c r="A25" s="2" t="str">
        <f t="shared" si="0"/>
        <v>Jan-2023</v>
      </c>
      <c r="B25" s="2">
        <v>44938.20080053241</v>
      </c>
      <c r="C25" s="5" t="s">
        <v>17</v>
      </c>
      <c r="D25" s="3">
        <v>2</v>
      </c>
      <c r="E25" s="4">
        <v>150</v>
      </c>
      <c r="F25" s="5" t="s">
        <v>7</v>
      </c>
      <c r="G25" s="5" t="s">
        <v>39</v>
      </c>
      <c r="H25" s="1">
        <f t="shared" si="1"/>
        <v>300</v>
      </c>
    </row>
    <row r="26" spans="1:8" x14ac:dyDescent="0.3">
      <c r="A26" s="2" t="str">
        <f t="shared" si="0"/>
        <v>Jan-2023</v>
      </c>
      <c r="B26" s="2">
        <v>44938.687791863427</v>
      </c>
      <c r="C26" s="5" t="s">
        <v>26</v>
      </c>
      <c r="D26" s="3">
        <v>1</v>
      </c>
      <c r="E26" s="4">
        <v>1200</v>
      </c>
      <c r="F26" s="5" t="s">
        <v>13</v>
      </c>
      <c r="G26" s="5" t="s">
        <v>40</v>
      </c>
      <c r="H26" s="1">
        <f t="shared" si="1"/>
        <v>1200</v>
      </c>
    </row>
    <row r="27" spans="1:8" x14ac:dyDescent="0.3">
      <c r="A27" s="2" t="str">
        <f t="shared" si="0"/>
        <v>Jan-2023</v>
      </c>
      <c r="B27" s="2">
        <v>44939.174783194445</v>
      </c>
      <c r="C27" s="5" t="s">
        <v>9</v>
      </c>
      <c r="D27" s="3">
        <v>4</v>
      </c>
      <c r="E27" s="4">
        <v>1800</v>
      </c>
      <c r="F27" s="5" t="s">
        <v>24</v>
      </c>
      <c r="G27" s="5" t="s">
        <v>41</v>
      </c>
      <c r="H27" s="1">
        <f t="shared" si="1"/>
        <v>7200</v>
      </c>
    </row>
    <row r="28" spans="1:8" x14ac:dyDescent="0.3">
      <c r="A28" s="2" t="str">
        <f t="shared" si="0"/>
        <v>Jan-2023</v>
      </c>
      <c r="B28" s="2">
        <v>44939.661774513886</v>
      </c>
      <c r="C28" s="5" t="s">
        <v>6</v>
      </c>
      <c r="D28" s="3">
        <v>3</v>
      </c>
      <c r="E28" s="4">
        <v>3500</v>
      </c>
      <c r="F28" s="5" t="s">
        <v>24</v>
      </c>
      <c r="G28" s="5" t="s">
        <v>18</v>
      </c>
      <c r="H28" s="1">
        <f t="shared" si="1"/>
        <v>10500</v>
      </c>
    </row>
    <row r="29" spans="1:8" x14ac:dyDescent="0.3">
      <c r="A29" s="2" t="str">
        <f t="shared" si="0"/>
        <v>Jan-2023</v>
      </c>
      <c r="B29" s="2">
        <v>44940.148765844904</v>
      </c>
      <c r="C29" s="5" t="s">
        <v>36</v>
      </c>
      <c r="D29" s="3">
        <v>2</v>
      </c>
      <c r="E29" s="4">
        <v>1200</v>
      </c>
      <c r="F29" s="5" t="s">
        <v>10</v>
      </c>
      <c r="G29" s="5" t="s">
        <v>42</v>
      </c>
      <c r="H29" s="1">
        <f t="shared" si="1"/>
        <v>2400</v>
      </c>
    </row>
    <row r="30" spans="1:8" x14ac:dyDescent="0.3">
      <c r="A30" s="2" t="str">
        <f t="shared" si="0"/>
        <v>Jan-2023</v>
      </c>
      <c r="B30" s="2">
        <v>44940.635757175929</v>
      </c>
      <c r="C30" s="5" t="s">
        <v>36</v>
      </c>
      <c r="D30" s="3">
        <v>1</v>
      </c>
      <c r="E30" s="4">
        <v>450</v>
      </c>
      <c r="F30" s="5" t="s">
        <v>24</v>
      </c>
      <c r="G30" s="5" t="s">
        <v>43</v>
      </c>
      <c r="H30" s="1">
        <f t="shared" si="1"/>
        <v>450</v>
      </c>
    </row>
    <row r="31" spans="1:8" x14ac:dyDescent="0.3">
      <c r="A31" s="2" t="str">
        <f t="shared" si="0"/>
        <v>Jan-2023</v>
      </c>
      <c r="B31" s="2">
        <v>44941.122748495371</v>
      </c>
      <c r="C31" s="5" t="s">
        <v>12</v>
      </c>
      <c r="D31" s="3">
        <v>5</v>
      </c>
      <c r="E31" s="4">
        <v>3500</v>
      </c>
      <c r="F31" s="5" t="s">
        <v>24</v>
      </c>
      <c r="G31" s="5" t="s">
        <v>31</v>
      </c>
      <c r="H31" s="1">
        <f t="shared" si="1"/>
        <v>17500</v>
      </c>
    </row>
    <row r="32" spans="1:8" x14ac:dyDescent="0.3">
      <c r="A32" s="2" t="str">
        <f t="shared" si="0"/>
        <v>Jan-2023</v>
      </c>
      <c r="B32" s="2">
        <v>44941.609739826388</v>
      </c>
      <c r="C32" s="5" t="s">
        <v>12</v>
      </c>
      <c r="D32" s="3">
        <v>2</v>
      </c>
      <c r="E32" s="4">
        <v>3500</v>
      </c>
      <c r="F32" s="5" t="s">
        <v>10</v>
      </c>
      <c r="G32" s="5" t="s">
        <v>44</v>
      </c>
      <c r="H32" s="1">
        <f t="shared" si="1"/>
        <v>7000</v>
      </c>
    </row>
    <row r="33" spans="1:8" x14ac:dyDescent="0.3">
      <c r="A33" s="2" t="str">
        <f t="shared" si="0"/>
        <v>Jan-2023</v>
      </c>
      <c r="B33" s="2">
        <v>44942.096731157406</v>
      </c>
      <c r="C33" s="5" t="s">
        <v>17</v>
      </c>
      <c r="D33" s="3">
        <v>2</v>
      </c>
      <c r="E33" s="4">
        <v>1200</v>
      </c>
      <c r="F33" s="5" t="s">
        <v>7</v>
      </c>
      <c r="G33" s="5" t="s">
        <v>45</v>
      </c>
      <c r="H33" s="1">
        <f t="shared" si="1"/>
        <v>2400</v>
      </c>
    </row>
    <row r="34" spans="1:8" x14ac:dyDescent="0.3">
      <c r="A34" s="2" t="str">
        <f t="shared" si="0"/>
        <v>Jan-2023</v>
      </c>
      <c r="B34" s="2">
        <v>44942.583722476855</v>
      </c>
      <c r="C34" s="5" t="s">
        <v>6</v>
      </c>
      <c r="D34" s="3">
        <v>1</v>
      </c>
      <c r="E34" s="4">
        <v>700</v>
      </c>
      <c r="F34" s="5" t="s">
        <v>13</v>
      </c>
      <c r="G34" s="5" t="s">
        <v>46</v>
      </c>
      <c r="H34" s="1">
        <f t="shared" si="1"/>
        <v>700</v>
      </c>
    </row>
    <row r="35" spans="1:8" x14ac:dyDescent="0.3">
      <c r="A35" s="2" t="str">
        <f t="shared" si="0"/>
        <v>Jan-2023</v>
      </c>
      <c r="B35" s="2">
        <v>44943.070713807872</v>
      </c>
      <c r="C35" s="5" t="s">
        <v>6</v>
      </c>
      <c r="D35" s="3">
        <v>2</v>
      </c>
      <c r="E35" s="4">
        <v>1200</v>
      </c>
      <c r="F35" s="5" t="s">
        <v>13</v>
      </c>
      <c r="G35" s="5" t="s">
        <v>47</v>
      </c>
      <c r="H35" s="1">
        <f t="shared" si="1"/>
        <v>2400</v>
      </c>
    </row>
    <row r="36" spans="1:8" x14ac:dyDescent="0.3">
      <c r="A36" s="2" t="str">
        <f t="shared" si="0"/>
        <v>Jan-2023</v>
      </c>
      <c r="B36" s="2">
        <v>44943.55770513889</v>
      </c>
      <c r="C36" s="5" t="s">
        <v>26</v>
      </c>
      <c r="D36" s="3">
        <v>5</v>
      </c>
      <c r="E36" s="4">
        <v>3500</v>
      </c>
      <c r="F36" s="5" t="s">
        <v>7</v>
      </c>
      <c r="G36" s="5" t="s">
        <v>48</v>
      </c>
      <c r="H36" s="1">
        <f t="shared" si="1"/>
        <v>17500</v>
      </c>
    </row>
    <row r="37" spans="1:8" x14ac:dyDescent="0.3">
      <c r="A37" s="2" t="str">
        <f t="shared" si="0"/>
        <v>Jan-2023</v>
      </c>
      <c r="B37" s="2">
        <v>44944.044696469908</v>
      </c>
      <c r="C37" s="5" t="s">
        <v>26</v>
      </c>
      <c r="D37" s="3">
        <v>6</v>
      </c>
      <c r="E37" s="4">
        <v>450</v>
      </c>
      <c r="F37" s="5" t="s">
        <v>10</v>
      </c>
      <c r="G37" s="5" t="s">
        <v>49</v>
      </c>
      <c r="H37" s="1">
        <f t="shared" si="1"/>
        <v>2700</v>
      </c>
    </row>
    <row r="38" spans="1:8" x14ac:dyDescent="0.3">
      <c r="A38" s="2" t="str">
        <f t="shared" si="0"/>
        <v>Jan-2023</v>
      </c>
      <c r="B38" s="2">
        <v>44944.531687789349</v>
      </c>
      <c r="C38" s="5" t="s">
        <v>26</v>
      </c>
      <c r="D38" s="3">
        <v>2</v>
      </c>
      <c r="E38" s="4">
        <v>3500</v>
      </c>
      <c r="F38" s="5" t="s">
        <v>7</v>
      </c>
      <c r="G38" s="5" t="s">
        <v>50</v>
      </c>
      <c r="H38" s="1">
        <f t="shared" si="1"/>
        <v>7000</v>
      </c>
    </row>
    <row r="39" spans="1:8" x14ac:dyDescent="0.3">
      <c r="A39" s="2" t="str">
        <f t="shared" si="0"/>
        <v>Jan-2023</v>
      </c>
      <c r="B39" s="2">
        <v>44945.018679120367</v>
      </c>
      <c r="C39" s="5" t="s">
        <v>12</v>
      </c>
      <c r="D39" s="3">
        <v>6</v>
      </c>
      <c r="E39" s="4">
        <v>450</v>
      </c>
      <c r="F39" s="5" t="s">
        <v>24</v>
      </c>
      <c r="G39" s="5" t="s">
        <v>51</v>
      </c>
      <c r="H39" s="1">
        <f t="shared" si="1"/>
        <v>2700</v>
      </c>
    </row>
    <row r="40" spans="1:8" x14ac:dyDescent="0.3">
      <c r="A40" s="2" t="str">
        <f t="shared" si="0"/>
        <v>Jan-2023</v>
      </c>
      <c r="B40" s="2">
        <v>44945.505670451392</v>
      </c>
      <c r="C40" s="5" t="s">
        <v>6</v>
      </c>
      <c r="D40" s="3">
        <v>5</v>
      </c>
      <c r="E40" s="4">
        <v>150</v>
      </c>
      <c r="F40" s="5" t="s">
        <v>10</v>
      </c>
      <c r="G40" s="5" t="s">
        <v>52</v>
      </c>
      <c r="H40" s="1">
        <f t="shared" si="1"/>
        <v>750</v>
      </c>
    </row>
    <row r="41" spans="1:8" x14ac:dyDescent="0.3">
      <c r="A41" s="2" t="str">
        <f t="shared" si="0"/>
        <v>Jan-2023</v>
      </c>
      <c r="B41" s="2">
        <v>44945.992661770833</v>
      </c>
      <c r="C41" s="5" t="s">
        <v>6</v>
      </c>
      <c r="D41" s="3">
        <v>1</v>
      </c>
      <c r="E41" s="4">
        <v>1800</v>
      </c>
      <c r="F41" s="5" t="s">
        <v>10</v>
      </c>
      <c r="G41" s="5" t="s">
        <v>53</v>
      </c>
      <c r="H41" s="1">
        <f t="shared" si="1"/>
        <v>1800</v>
      </c>
    </row>
    <row r="42" spans="1:8" x14ac:dyDescent="0.3">
      <c r="A42" s="2" t="str">
        <f t="shared" si="0"/>
        <v>Jan-2023</v>
      </c>
      <c r="B42" s="2">
        <v>44946.479653101851</v>
      </c>
      <c r="C42" s="5" t="s">
        <v>36</v>
      </c>
      <c r="D42" s="3">
        <v>3</v>
      </c>
      <c r="E42" s="4">
        <v>3500</v>
      </c>
      <c r="F42" s="5" t="s">
        <v>10</v>
      </c>
      <c r="G42" s="5" t="s">
        <v>54</v>
      </c>
      <c r="H42" s="1">
        <f t="shared" si="1"/>
        <v>10500</v>
      </c>
    </row>
    <row r="43" spans="1:8" x14ac:dyDescent="0.3">
      <c r="A43" s="2" t="str">
        <f t="shared" si="0"/>
        <v>Jan-2023</v>
      </c>
      <c r="B43" s="2">
        <v>44946.966644432869</v>
      </c>
      <c r="C43" s="5" t="s">
        <v>12</v>
      </c>
      <c r="D43" s="3">
        <v>2</v>
      </c>
      <c r="E43" s="4">
        <v>1200</v>
      </c>
      <c r="F43" s="5" t="s">
        <v>13</v>
      </c>
      <c r="G43" s="5" t="s">
        <v>55</v>
      </c>
      <c r="H43" s="1">
        <f t="shared" si="1"/>
        <v>2400</v>
      </c>
    </row>
    <row r="44" spans="1:8" x14ac:dyDescent="0.3">
      <c r="A44" s="2" t="str">
        <f t="shared" si="0"/>
        <v>Jan-2023</v>
      </c>
      <c r="B44" s="2">
        <v>44947.453635752317</v>
      </c>
      <c r="C44" s="5" t="s">
        <v>9</v>
      </c>
      <c r="D44" s="3">
        <v>3</v>
      </c>
      <c r="E44" s="4">
        <v>150</v>
      </c>
      <c r="F44" s="5" t="s">
        <v>7</v>
      </c>
      <c r="G44" s="5" t="s">
        <v>56</v>
      </c>
      <c r="H44" s="1">
        <f t="shared" si="1"/>
        <v>450</v>
      </c>
    </row>
    <row r="45" spans="1:8" x14ac:dyDescent="0.3">
      <c r="A45" s="2" t="str">
        <f t="shared" si="0"/>
        <v>Jan-2023</v>
      </c>
      <c r="B45" s="2">
        <v>44947.940627083335</v>
      </c>
      <c r="C45" s="5" t="s">
        <v>12</v>
      </c>
      <c r="D45" s="3">
        <v>5</v>
      </c>
      <c r="E45" s="4">
        <v>1800</v>
      </c>
      <c r="F45" s="5" t="s">
        <v>10</v>
      </c>
      <c r="G45" s="5" t="s">
        <v>57</v>
      </c>
      <c r="H45" s="1">
        <f t="shared" si="1"/>
        <v>9000</v>
      </c>
    </row>
    <row r="46" spans="1:8" x14ac:dyDescent="0.3">
      <c r="A46" s="2" t="str">
        <f t="shared" si="0"/>
        <v>Jan-2023</v>
      </c>
      <c r="B46" s="2">
        <v>44948.427618414353</v>
      </c>
      <c r="C46" s="5" t="s">
        <v>9</v>
      </c>
      <c r="D46" s="3">
        <v>2</v>
      </c>
      <c r="E46" s="4">
        <v>1200</v>
      </c>
      <c r="F46" s="5" t="s">
        <v>10</v>
      </c>
      <c r="G46" s="5" t="s">
        <v>16</v>
      </c>
      <c r="H46" s="1">
        <f t="shared" si="1"/>
        <v>2400</v>
      </c>
    </row>
    <row r="47" spans="1:8" x14ac:dyDescent="0.3">
      <c r="A47" s="2" t="str">
        <f t="shared" si="0"/>
        <v>Jan-2023</v>
      </c>
      <c r="B47" s="2">
        <v>44948.91460974537</v>
      </c>
      <c r="C47" s="5" t="s">
        <v>36</v>
      </c>
      <c r="D47" s="3">
        <v>6</v>
      </c>
      <c r="E47" s="4">
        <v>700</v>
      </c>
      <c r="F47" s="5" t="s">
        <v>10</v>
      </c>
      <c r="G47" s="5" t="s">
        <v>58</v>
      </c>
      <c r="H47" s="1">
        <f t="shared" si="1"/>
        <v>4200</v>
      </c>
    </row>
    <row r="48" spans="1:8" x14ac:dyDescent="0.3">
      <c r="A48" s="2" t="str">
        <f t="shared" si="0"/>
        <v>Jan-2023</v>
      </c>
      <c r="B48" s="2">
        <v>44949.401601064812</v>
      </c>
      <c r="C48" s="5" t="s">
        <v>17</v>
      </c>
      <c r="D48" s="3">
        <v>4</v>
      </c>
      <c r="E48" s="4">
        <v>1200</v>
      </c>
      <c r="F48" s="5" t="s">
        <v>7</v>
      </c>
      <c r="G48" s="5" t="s">
        <v>59</v>
      </c>
      <c r="H48" s="1">
        <f t="shared" si="1"/>
        <v>4800</v>
      </c>
    </row>
    <row r="49" spans="1:8" x14ac:dyDescent="0.3">
      <c r="A49" s="2" t="str">
        <f t="shared" si="0"/>
        <v>Jan-2023</v>
      </c>
      <c r="B49" s="2">
        <v>44949.888592395837</v>
      </c>
      <c r="C49" s="5" t="s">
        <v>6</v>
      </c>
      <c r="D49" s="3">
        <v>3</v>
      </c>
      <c r="E49" s="4">
        <v>450</v>
      </c>
      <c r="F49" s="5" t="s">
        <v>13</v>
      </c>
      <c r="G49" s="5" t="s">
        <v>60</v>
      </c>
      <c r="H49" s="1">
        <f t="shared" si="1"/>
        <v>1350</v>
      </c>
    </row>
    <row r="50" spans="1:8" x14ac:dyDescent="0.3">
      <c r="A50" s="2" t="str">
        <f t="shared" si="0"/>
        <v>Jan-2023</v>
      </c>
      <c r="B50" s="2">
        <v>44950.375583726855</v>
      </c>
      <c r="C50" s="5" t="s">
        <v>36</v>
      </c>
      <c r="D50" s="3">
        <v>2</v>
      </c>
      <c r="E50" s="4">
        <v>450</v>
      </c>
      <c r="F50" s="5" t="s">
        <v>24</v>
      </c>
      <c r="G50" s="5" t="s">
        <v>61</v>
      </c>
      <c r="H50" s="1">
        <f t="shared" si="1"/>
        <v>900</v>
      </c>
    </row>
    <row r="51" spans="1:8" x14ac:dyDescent="0.3">
      <c r="A51" s="2" t="str">
        <f t="shared" si="0"/>
        <v>Jan-2023</v>
      </c>
      <c r="B51" s="2">
        <v>44950.862575046296</v>
      </c>
      <c r="C51" s="5" t="s">
        <v>6</v>
      </c>
      <c r="D51" s="3">
        <v>3</v>
      </c>
      <c r="E51" s="4">
        <v>700</v>
      </c>
      <c r="F51" s="5" t="s">
        <v>13</v>
      </c>
      <c r="G51" s="5" t="s">
        <v>62</v>
      </c>
      <c r="H51" s="1">
        <f t="shared" si="1"/>
        <v>2100</v>
      </c>
    </row>
    <row r="52" spans="1:8" x14ac:dyDescent="0.3">
      <c r="A52" s="2" t="str">
        <f t="shared" si="0"/>
        <v>Jan-2023</v>
      </c>
      <c r="B52" s="2">
        <v>44951.349566377314</v>
      </c>
      <c r="C52" s="5" t="s">
        <v>26</v>
      </c>
      <c r="D52" s="3">
        <v>2</v>
      </c>
      <c r="E52" s="4">
        <v>150</v>
      </c>
      <c r="F52" s="5" t="s">
        <v>10</v>
      </c>
      <c r="G52" s="5" t="s">
        <v>63</v>
      </c>
      <c r="H52" s="1">
        <f t="shared" si="1"/>
        <v>300</v>
      </c>
    </row>
    <row r="53" spans="1:8" x14ac:dyDescent="0.3">
      <c r="A53" s="2" t="str">
        <f t="shared" si="0"/>
        <v>Jan-2023</v>
      </c>
      <c r="B53" s="2">
        <v>44951.836557708331</v>
      </c>
      <c r="C53" s="5" t="s">
        <v>17</v>
      </c>
      <c r="D53" s="3">
        <v>1</v>
      </c>
      <c r="E53" s="4">
        <v>1800</v>
      </c>
      <c r="F53" s="5" t="s">
        <v>13</v>
      </c>
      <c r="G53" s="5" t="s">
        <v>64</v>
      </c>
      <c r="H53" s="1">
        <f t="shared" si="1"/>
        <v>1800</v>
      </c>
    </row>
    <row r="54" spans="1:8" x14ac:dyDescent="0.3">
      <c r="A54" s="2" t="str">
        <f t="shared" si="0"/>
        <v>Jan-2023</v>
      </c>
      <c r="B54" s="2">
        <v>44952.32354902778</v>
      </c>
      <c r="C54" s="5" t="s">
        <v>17</v>
      </c>
      <c r="D54" s="3">
        <v>6</v>
      </c>
      <c r="E54" s="4">
        <v>1200</v>
      </c>
      <c r="F54" s="5" t="s">
        <v>13</v>
      </c>
      <c r="G54" s="5" t="s">
        <v>65</v>
      </c>
      <c r="H54" s="1">
        <f t="shared" si="1"/>
        <v>7200</v>
      </c>
    </row>
    <row r="55" spans="1:8" x14ac:dyDescent="0.3">
      <c r="A55" s="2" t="str">
        <f t="shared" si="0"/>
        <v>Jan-2023</v>
      </c>
      <c r="B55" s="2">
        <v>44952.810540358798</v>
      </c>
      <c r="C55" s="5" t="s">
        <v>36</v>
      </c>
      <c r="D55" s="3">
        <v>3</v>
      </c>
      <c r="E55" s="4">
        <v>450</v>
      </c>
      <c r="F55" s="5" t="s">
        <v>24</v>
      </c>
      <c r="G55" s="5" t="s">
        <v>66</v>
      </c>
      <c r="H55" s="1">
        <f t="shared" si="1"/>
        <v>1350</v>
      </c>
    </row>
    <row r="56" spans="1:8" x14ac:dyDescent="0.3">
      <c r="A56" s="2" t="str">
        <f t="shared" si="0"/>
        <v>Jan-2023</v>
      </c>
      <c r="B56" s="2">
        <v>44953.297531689816</v>
      </c>
      <c r="C56" s="5" t="s">
        <v>17</v>
      </c>
      <c r="D56" s="3">
        <v>4</v>
      </c>
      <c r="E56" s="4">
        <v>150</v>
      </c>
      <c r="F56" s="5" t="s">
        <v>7</v>
      </c>
      <c r="G56" s="5" t="s">
        <v>67</v>
      </c>
      <c r="H56" s="1">
        <f t="shared" si="1"/>
        <v>600</v>
      </c>
    </row>
    <row r="57" spans="1:8" x14ac:dyDescent="0.3">
      <c r="A57" s="2" t="str">
        <f t="shared" si="0"/>
        <v>Jan-2023</v>
      </c>
      <c r="B57" s="2">
        <v>44953.784523020833</v>
      </c>
      <c r="C57" s="5" t="s">
        <v>9</v>
      </c>
      <c r="D57" s="3">
        <v>4</v>
      </c>
      <c r="E57" s="4">
        <v>700</v>
      </c>
      <c r="F57" s="5" t="s">
        <v>7</v>
      </c>
      <c r="G57" s="5" t="s">
        <v>68</v>
      </c>
      <c r="H57" s="1">
        <f t="shared" si="1"/>
        <v>2800</v>
      </c>
    </row>
    <row r="58" spans="1:8" x14ac:dyDescent="0.3">
      <c r="A58" s="2" t="str">
        <f t="shared" si="0"/>
        <v>Jan-2023</v>
      </c>
      <c r="B58" s="2">
        <v>44954.271514340275</v>
      </c>
      <c r="C58" s="5" t="s">
        <v>17</v>
      </c>
      <c r="D58" s="3">
        <v>5</v>
      </c>
      <c r="E58" s="4">
        <v>3500</v>
      </c>
      <c r="F58" s="5" t="s">
        <v>13</v>
      </c>
      <c r="G58" s="5" t="s">
        <v>69</v>
      </c>
      <c r="H58" s="1">
        <f t="shared" si="1"/>
        <v>17500</v>
      </c>
    </row>
    <row r="59" spans="1:8" x14ac:dyDescent="0.3">
      <c r="A59" s="2" t="str">
        <f t="shared" si="0"/>
        <v>Jan-2023</v>
      </c>
      <c r="B59" s="2">
        <v>44954.7585056713</v>
      </c>
      <c r="C59" s="5" t="s">
        <v>6</v>
      </c>
      <c r="D59" s="3">
        <v>2</v>
      </c>
      <c r="E59" s="4">
        <v>450</v>
      </c>
      <c r="F59" s="5" t="s">
        <v>13</v>
      </c>
      <c r="G59" s="5" t="s">
        <v>29</v>
      </c>
      <c r="H59" s="1">
        <f t="shared" si="1"/>
        <v>900</v>
      </c>
    </row>
    <row r="60" spans="1:8" x14ac:dyDescent="0.3">
      <c r="A60" s="2" t="str">
        <f t="shared" si="0"/>
        <v>Jan-2023</v>
      </c>
      <c r="B60" s="2">
        <v>44955.245497002317</v>
      </c>
      <c r="C60" s="5" t="s">
        <v>6</v>
      </c>
      <c r="D60" s="3">
        <v>3</v>
      </c>
      <c r="E60" s="4">
        <v>700</v>
      </c>
      <c r="F60" s="5" t="s">
        <v>7</v>
      </c>
      <c r="G60" s="5" t="s">
        <v>70</v>
      </c>
      <c r="H60" s="1">
        <f t="shared" si="1"/>
        <v>2100</v>
      </c>
    </row>
    <row r="61" spans="1:8" x14ac:dyDescent="0.3">
      <c r="A61" s="2" t="str">
        <f t="shared" si="0"/>
        <v>Jan-2023</v>
      </c>
      <c r="B61" s="2">
        <v>44955.732488321759</v>
      </c>
      <c r="C61" s="5" t="s">
        <v>6</v>
      </c>
      <c r="D61" s="3">
        <v>5</v>
      </c>
      <c r="E61" s="4">
        <v>1200</v>
      </c>
      <c r="F61" s="5" t="s">
        <v>7</v>
      </c>
      <c r="G61" s="5" t="s">
        <v>71</v>
      </c>
      <c r="H61" s="1">
        <f t="shared" si="1"/>
        <v>6000</v>
      </c>
    </row>
    <row r="62" spans="1:8" x14ac:dyDescent="0.3">
      <c r="A62" s="2" t="str">
        <f t="shared" si="0"/>
        <v>Jan-2023</v>
      </c>
      <c r="B62" s="2">
        <v>44956.219479652776</v>
      </c>
      <c r="C62" s="5" t="s">
        <v>6</v>
      </c>
      <c r="D62" s="3">
        <v>3</v>
      </c>
      <c r="E62" s="4">
        <v>1800</v>
      </c>
      <c r="F62" s="5" t="s">
        <v>24</v>
      </c>
      <c r="G62" s="5" t="s">
        <v>72</v>
      </c>
      <c r="H62" s="1">
        <f t="shared" si="1"/>
        <v>5400</v>
      </c>
    </row>
    <row r="63" spans="1:8" x14ac:dyDescent="0.3">
      <c r="A63" s="2" t="str">
        <f t="shared" si="0"/>
        <v>Jan-2023</v>
      </c>
      <c r="B63" s="2">
        <v>44956.706470983794</v>
      </c>
      <c r="C63" s="5" t="s">
        <v>9</v>
      </c>
      <c r="D63" s="3">
        <v>2</v>
      </c>
      <c r="E63" s="4">
        <v>450</v>
      </c>
      <c r="F63" s="5" t="s">
        <v>10</v>
      </c>
      <c r="G63" s="5" t="s">
        <v>55</v>
      </c>
      <c r="H63" s="1">
        <f t="shared" si="1"/>
        <v>900</v>
      </c>
    </row>
    <row r="64" spans="1:8" x14ac:dyDescent="0.3">
      <c r="A64" s="2" t="str">
        <f t="shared" si="0"/>
        <v>Jan-2023</v>
      </c>
      <c r="B64" s="2">
        <v>44957.193462303243</v>
      </c>
      <c r="C64" s="5" t="s">
        <v>12</v>
      </c>
      <c r="D64" s="3">
        <v>4</v>
      </c>
      <c r="E64" s="4">
        <v>450</v>
      </c>
      <c r="F64" s="5" t="s">
        <v>13</v>
      </c>
      <c r="G64" s="5" t="s">
        <v>73</v>
      </c>
      <c r="H64" s="1">
        <f t="shared" si="1"/>
        <v>1800</v>
      </c>
    </row>
    <row r="65" spans="1:8" x14ac:dyDescent="0.3">
      <c r="A65" s="2" t="str">
        <f t="shared" si="0"/>
        <v>Jan-2023</v>
      </c>
      <c r="B65" s="2">
        <v>44957.680453634261</v>
      </c>
      <c r="C65" s="5" t="s">
        <v>26</v>
      </c>
      <c r="D65" s="3">
        <v>1</v>
      </c>
      <c r="E65" s="4">
        <v>1200</v>
      </c>
      <c r="F65" s="5" t="s">
        <v>7</v>
      </c>
      <c r="G65" s="5" t="s">
        <v>74</v>
      </c>
      <c r="H65" s="1">
        <f t="shared" si="1"/>
        <v>1200</v>
      </c>
    </row>
    <row r="66" spans="1:8" x14ac:dyDescent="0.3">
      <c r="A66" s="2" t="str">
        <f t="shared" si="0"/>
        <v>Feb-2023</v>
      </c>
      <c r="B66" s="2">
        <v>44958.167444965278</v>
      </c>
      <c r="C66" s="5" t="s">
        <v>36</v>
      </c>
      <c r="D66" s="3">
        <v>4</v>
      </c>
      <c r="E66" s="4">
        <v>3500</v>
      </c>
      <c r="F66" s="5" t="s">
        <v>13</v>
      </c>
      <c r="G66" s="5" t="s">
        <v>75</v>
      </c>
      <c r="H66" s="1">
        <f t="shared" si="1"/>
        <v>14000</v>
      </c>
    </row>
    <row r="67" spans="1:8" x14ac:dyDescent="0.3">
      <c r="A67" s="2" t="str">
        <f t="shared" ref="A67:A130" si="2">TEXT(B67, "mmm-yyyy")</f>
        <v>Feb-2023</v>
      </c>
      <c r="B67" s="2">
        <v>44958.654436296296</v>
      </c>
      <c r="C67" s="5" t="s">
        <v>6</v>
      </c>
      <c r="D67" s="3">
        <v>5</v>
      </c>
      <c r="E67" s="4">
        <v>150</v>
      </c>
      <c r="F67" s="5" t="s">
        <v>13</v>
      </c>
      <c r="G67" s="5" t="s">
        <v>76</v>
      </c>
      <c r="H67" s="1">
        <f t="shared" ref="H67:H130" si="3" xml:space="preserve"> D67 * E67</f>
        <v>750</v>
      </c>
    </row>
    <row r="68" spans="1:8" x14ac:dyDescent="0.3">
      <c r="A68" s="2" t="str">
        <f t="shared" si="2"/>
        <v>Feb-2023</v>
      </c>
      <c r="B68" s="2">
        <v>44959.141427615737</v>
      </c>
      <c r="C68" s="5" t="s">
        <v>17</v>
      </c>
      <c r="D68" s="3">
        <v>6</v>
      </c>
      <c r="E68" s="4">
        <v>1800</v>
      </c>
      <c r="F68" s="5" t="s">
        <v>7</v>
      </c>
      <c r="G68" s="5" t="s">
        <v>77</v>
      </c>
      <c r="H68" s="1">
        <f t="shared" si="3"/>
        <v>10800</v>
      </c>
    </row>
    <row r="69" spans="1:8" x14ac:dyDescent="0.3">
      <c r="A69" s="2" t="str">
        <f t="shared" si="2"/>
        <v>Feb-2023</v>
      </c>
      <c r="B69" s="2">
        <v>44959.628418946762</v>
      </c>
      <c r="C69" s="5" t="s">
        <v>6</v>
      </c>
      <c r="D69" s="3">
        <v>1</v>
      </c>
      <c r="E69" s="4">
        <v>450</v>
      </c>
      <c r="F69" s="5" t="s">
        <v>24</v>
      </c>
      <c r="G69" s="5" t="s">
        <v>78</v>
      </c>
      <c r="H69" s="1">
        <f t="shared" si="3"/>
        <v>450</v>
      </c>
    </row>
    <row r="70" spans="1:8" x14ac:dyDescent="0.3">
      <c r="A70" s="2" t="str">
        <f t="shared" si="2"/>
        <v>Feb-2023</v>
      </c>
      <c r="B70" s="2">
        <v>44960.11541027778</v>
      </c>
      <c r="C70" s="5" t="s">
        <v>17</v>
      </c>
      <c r="D70" s="3">
        <v>5</v>
      </c>
      <c r="E70" s="4">
        <v>1800</v>
      </c>
      <c r="F70" s="5" t="s">
        <v>13</v>
      </c>
      <c r="G70" s="5" t="s">
        <v>79</v>
      </c>
      <c r="H70" s="1">
        <f t="shared" si="3"/>
        <v>9000</v>
      </c>
    </row>
    <row r="71" spans="1:8" x14ac:dyDescent="0.3">
      <c r="A71" s="2" t="str">
        <f t="shared" si="2"/>
        <v>Feb-2023</v>
      </c>
      <c r="B71" s="2">
        <v>44960.602401597222</v>
      </c>
      <c r="C71" s="5" t="s">
        <v>26</v>
      </c>
      <c r="D71" s="3">
        <v>2</v>
      </c>
      <c r="E71" s="4">
        <v>450</v>
      </c>
      <c r="F71" s="5" t="s">
        <v>24</v>
      </c>
      <c r="G71" s="5" t="s">
        <v>75</v>
      </c>
      <c r="H71" s="1">
        <f t="shared" si="3"/>
        <v>900</v>
      </c>
    </row>
    <row r="72" spans="1:8" x14ac:dyDescent="0.3">
      <c r="A72" s="2" t="str">
        <f t="shared" si="2"/>
        <v>Feb-2023</v>
      </c>
      <c r="B72" s="2">
        <v>44961.089392928239</v>
      </c>
      <c r="C72" s="5" t="s">
        <v>26</v>
      </c>
      <c r="D72" s="3">
        <v>1</v>
      </c>
      <c r="E72" s="4">
        <v>1800</v>
      </c>
      <c r="F72" s="5" t="s">
        <v>7</v>
      </c>
      <c r="G72" s="5" t="s">
        <v>80</v>
      </c>
      <c r="H72" s="1">
        <f t="shared" si="3"/>
        <v>1800</v>
      </c>
    </row>
    <row r="73" spans="1:8" x14ac:dyDescent="0.3">
      <c r="A73" s="2" t="str">
        <f t="shared" si="2"/>
        <v>Feb-2023</v>
      </c>
      <c r="B73" s="2">
        <v>44961.576384259257</v>
      </c>
      <c r="C73" s="5" t="s">
        <v>26</v>
      </c>
      <c r="D73" s="3">
        <v>5</v>
      </c>
      <c r="E73" s="4">
        <v>700</v>
      </c>
      <c r="F73" s="5" t="s">
        <v>10</v>
      </c>
      <c r="G73" s="5" t="s">
        <v>81</v>
      </c>
      <c r="H73" s="1">
        <f t="shared" si="3"/>
        <v>3500</v>
      </c>
    </row>
    <row r="74" spans="1:8" x14ac:dyDescent="0.3">
      <c r="A74" s="2" t="str">
        <f t="shared" si="2"/>
        <v>Feb-2023</v>
      </c>
      <c r="B74" s="2">
        <v>44962.063375578706</v>
      </c>
      <c r="C74" s="5" t="s">
        <v>17</v>
      </c>
      <c r="D74" s="3">
        <v>2</v>
      </c>
      <c r="E74" s="4">
        <v>450</v>
      </c>
      <c r="F74" s="5" t="s">
        <v>10</v>
      </c>
      <c r="G74" s="5" t="s">
        <v>82</v>
      </c>
      <c r="H74" s="1">
        <f t="shared" si="3"/>
        <v>900</v>
      </c>
    </row>
    <row r="75" spans="1:8" x14ac:dyDescent="0.3">
      <c r="A75" s="2" t="str">
        <f t="shared" si="2"/>
        <v>Feb-2023</v>
      </c>
      <c r="B75" s="2">
        <v>44962.550366909723</v>
      </c>
      <c r="C75" s="5" t="s">
        <v>6</v>
      </c>
      <c r="D75" s="3">
        <v>4</v>
      </c>
      <c r="E75" s="4">
        <v>1800</v>
      </c>
      <c r="F75" s="5" t="s">
        <v>13</v>
      </c>
      <c r="G75" s="5" t="s">
        <v>83</v>
      </c>
      <c r="H75" s="1">
        <f t="shared" si="3"/>
        <v>7200</v>
      </c>
    </row>
    <row r="76" spans="1:8" x14ac:dyDescent="0.3">
      <c r="A76" s="2" t="str">
        <f t="shared" si="2"/>
        <v>Feb-2023</v>
      </c>
      <c r="B76" s="2">
        <v>44963.037358240741</v>
      </c>
      <c r="C76" s="5" t="s">
        <v>26</v>
      </c>
      <c r="D76" s="3">
        <v>6</v>
      </c>
      <c r="E76" s="4">
        <v>150</v>
      </c>
      <c r="F76" s="5" t="s">
        <v>7</v>
      </c>
      <c r="G76" s="5" t="s">
        <v>84</v>
      </c>
      <c r="H76" s="1">
        <f t="shared" si="3"/>
        <v>900</v>
      </c>
    </row>
    <row r="77" spans="1:8" x14ac:dyDescent="0.3">
      <c r="A77" s="2" t="str">
        <f t="shared" si="2"/>
        <v>Feb-2023</v>
      </c>
      <c r="B77" s="2">
        <v>44963.524349571759</v>
      </c>
      <c r="C77" s="5" t="s">
        <v>9</v>
      </c>
      <c r="D77" s="3">
        <v>2</v>
      </c>
      <c r="E77" s="4">
        <v>700</v>
      </c>
      <c r="F77" s="5" t="s">
        <v>24</v>
      </c>
      <c r="G77" s="5" t="s">
        <v>85</v>
      </c>
      <c r="H77" s="1">
        <f t="shared" si="3"/>
        <v>1400</v>
      </c>
    </row>
    <row r="78" spans="1:8" x14ac:dyDescent="0.3">
      <c r="A78" s="2" t="str">
        <f t="shared" si="2"/>
        <v>Feb-2023</v>
      </c>
      <c r="B78" s="2">
        <v>44964.0113408912</v>
      </c>
      <c r="C78" s="5" t="s">
        <v>17</v>
      </c>
      <c r="D78" s="3">
        <v>3</v>
      </c>
      <c r="E78" s="4">
        <v>700</v>
      </c>
      <c r="F78" s="5" t="s">
        <v>13</v>
      </c>
      <c r="G78" s="5" t="s">
        <v>86</v>
      </c>
      <c r="H78" s="1">
        <f t="shared" si="3"/>
        <v>2100</v>
      </c>
    </row>
    <row r="79" spans="1:8" x14ac:dyDescent="0.3">
      <c r="A79" s="2" t="str">
        <f t="shared" si="2"/>
        <v>Feb-2023</v>
      </c>
      <c r="B79" s="2">
        <v>44964.498332222225</v>
      </c>
      <c r="C79" s="5" t="s">
        <v>17</v>
      </c>
      <c r="D79" s="3">
        <v>2</v>
      </c>
      <c r="E79" s="4">
        <v>150</v>
      </c>
      <c r="F79" s="5" t="s">
        <v>7</v>
      </c>
      <c r="G79" s="5" t="s">
        <v>87</v>
      </c>
      <c r="H79" s="1">
        <f t="shared" si="3"/>
        <v>300</v>
      </c>
    </row>
    <row r="80" spans="1:8" x14ac:dyDescent="0.3">
      <c r="A80" s="2" t="str">
        <f t="shared" si="2"/>
        <v>Feb-2023</v>
      </c>
      <c r="B80" s="2">
        <v>44964.985323553243</v>
      </c>
      <c r="C80" s="5" t="s">
        <v>6</v>
      </c>
      <c r="D80" s="3">
        <v>2</v>
      </c>
      <c r="E80" s="4">
        <v>1800</v>
      </c>
      <c r="F80" s="5" t="s">
        <v>7</v>
      </c>
      <c r="G80" s="5" t="s">
        <v>88</v>
      </c>
      <c r="H80" s="1">
        <f t="shared" si="3"/>
        <v>3600</v>
      </c>
    </row>
    <row r="81" spans="1:8" x14ac:dyDescent="0.3">
      <c r="A81" s="2" t="str">
        <f t="shared" si="2"/>
        <v>Feb-2023</v>
      </c>
      <c r="B81" s="2">
        <v>44965.472314872684</v>
      </c>
      <c r="C81" s="5" t="s">
        <v>17</v>
      </c>
      <c r="D81" s="3">
        <v>6</v>
      </c>
      <c r="E81" s="4">
        <v>1200</v>
      </c>
      <c r="F81" s="5" t="s">
        <v>24</v>
      </c>
      <c r="G81" s="5" t="s">
        <v>89</v>
      </c>
      <c r="H81" s="1">
        <f t="shared" si="3"/>
        <v>7200</v>
      </c>
    </row>
    <row r="82" spans="1:8" x14ac:dyDescent="0.3">
      <c r="A82" s="2" t="str">
        <f t="shared" si="2"/>
        <v>Feb-2023</v>
      </c>
      <c r="B82" s="2">
        <v>44965.959306203702</v>
      </c>
      <c r="C82" s="5" t="s">
        <v>17</v>
      </c>
      <c r="D82" s="3">
        <v>3</v>
      </c>
      <c r="E82" s="4">
        <v>150</v>
      </c>
      <c r="F82" s="5" t="s">
        <v>13</v>
      </c>
      <c r="G82" s="5" t="s">
        <v>90</v>
      </c>
      <c r="H82" s="1">
        <f t="shared" si="3"/>
        <v>450</v>
      </c>
    </row>
    <row r="83" spans="1:8" x14ac:dyDescent="0.3">
      <c r="A83" s="2" t="str">
        <f t="shared" si="2"/>
        <v>Feb-2023</v>
      </c>
      <c r="B83" s="2">
        <v>44966.44629753472</v>
      </c>
      <c r="C83" s="5" t="s">
        <v>26</v>
      </c>
      <c r="D83" s="3">
        <v>5</v>
      </c>
      <c r="E83" s="4">
        <v>1800</v>
      </c>
      <c r="F83" s="5" t="s">
        <v>7</v>
      </c>
      <c r="G83" s="5" t="s">
        <v>91</v>
      </c>
      <c r="H83" s="1">
        <f t="shared" si="3"/>
        <v>9000</v>
      </c>
    </row>
    <row r="84" spans="1:8" x14ac:dyDescent="0.3">
      <c r="A84" s="2" t="str">
        <f t="shared" si="2"/>
        <v>Feb-2023</v>
      </c>
      <c r="B84" s="2">
        <v>44966.933288854168</v>
      </c>
      <c r="C84" s="5" t="s">
        <v>6</v>
      </c>
      <c r="D84" s="3">
        <v>5</v>
      </c>
      <c r="E84" s="4">
        <v>150</v>
      </c>
      <c r="F84" s="5" t="s">
        <v>7</v>
      </c>
      <c r="G84" s="5" t="s">
        <v>92</v>
      </c>
      <c r="H84" s="1">
        <f t="shared" si="3"/>
        <v>750</v>
      </c>
    </row>
    <row r="85" spans="1:8" x14ac:dyDescent="0.3">
      <c r="A85" s="2" t="str">
        <f t="shared" si="2"/>
        <v>Feb-2023</v>
      </c>
      <c r="B85" s="2">
        <v>44967.420280185186</v>
      </c>
      <c r="C85" s="5" t="s">
        <v>26</v>
      </c>
      <c r="D85" s="3">
        <v>2</v>
      </c>
      <c r="E85" s="4">
        <v>150</v>
      </c>
      <c r="F85" s="5" t="s">
        <v>7</v>
      </c>
      <c r="G85" s="5" t="s">
        <v>93</v>
      </c>
      <c r="H85" s="1">
        <f t="shared" si="3"/>
        <v>300</v>
      </c>
    </row>
    <row r="86" spans="1:8" x14ac:dyDescent="0.3">
      <c r="A86" s="2" t="str">
        <f t="shared" si="2"/>
        <v>Feb-2023</v>
      </c>
      <c r="B86" s="2">
        <v>44967.907271516204</v>
      </c>
      <c r="C86" s="5" t="s">
        <v>26</v>
      </c>
      <c r="D86" s="3">
        <v>3</v>
      </c>
      <c r="E86" s="4">
        <v>450</v>
      </c>
      <c r="F86" s="5" t="s">
        <v>24</v>
      </c>
      <c r="G86" s="5" t="s">
        <v>78</v>
      </c>
      <c r="H86" s="1">
        <f t="shared" si="3"/>
        <v>1350</v>
      </c>
    </row>
    <row r="87" spans="1:8" x14ac:dyDescent="0.3">
      <c r="A87" s="2" t="str">
        <f t="shared" si="2"/>
        <v>Feb-2023</v>
      </c>
      <c r="B87" s="2">
        <v>44968.394262847221</v>
      </c>
      <c r="C87" s="5" t="s">
        <v>6</v>
      </c>
      <c r="D87" s="3">
        <v>3</v>
      </c>
      <c r="E87" s="4">
        <v>1800</v>
      </c>
      <c r="F87" s="5" t="s">
        <v>13</v>
      </c>
      <c r="G87" s="5" t="s">
        <v>94</v>
      </c>
      <c r="H87" s="1">
        <f t="shared" si="3"/>
        <v>5400</v>
      </c>
    </row>
    <row r="88" spans="1:8" x14ac:dyDescent="0.3">
      <c r="A88" s="2" t="str">
        <f t="shared" si="2"/>
        <v>Feb-2023</v>
      </c>
      <c r="B88" s="2">
        <v>44968.88125416667</v>
      </c>
      <c r="C88" s="5" t="s">
        <v>36</v>
      </c>
      <c r="D88" s="3">
        <v>6</v>
      </c>
      <c r="E88" s="4">
        <v>1200</v>
      </c>
      <c r="F88" s="5" t="s">
        <v>13</v>
      </c>
      <c r="G88" s="5" t="s">
        <v>95</v>
      </c>
      <c r="H88" s="1">
        <f t="shared" si="3"/>
        <v>7200</v>
      </c>
    </row>
    <row r="89" spans="1:8" x14ac:dyDescent="0.3">
      <c r="A89" s="2" t="str">
        <f t="shared" si="2"/>
        <v>Feb-2023</v>
      </c>
      <c r="B89" s="2">
        <v>44969.368245497688</v>
      </c>
      <c r="C89" s="5" t="s">
        <v>26</v>
      </c>
      <c r="D89" s="3">
        <v>4</v>
      </c>
      <c r="E89" s="4">
        <v>450</v>
      </c>
      <c r="F89" s="5" t="s">
        <v>13</v>
      </c>
      <c r="G89" s="5" t="s">
        <v>96</v>
      </c>
      <c r="H89" s="1">
        <f t="shared" si="3"/>
        <v>1800</v>
      </c>
    </row>
    <row r="90" spans="1:8" x14ac:dyDescent="0.3">
      <c r="A90" s="2" t="str">
        <f t="shared" si="2"/>
        <v>Feb-2023</v>
      </c>
      <c r="B90" s="2">
        <v>44969.855236828706</v>
      </c>
      <c r="C90" s="5" t="s">
        <v>9</v>
      </c>
      <c r="D90" s="3">
        <v>5</v>
      </c>
      <c r="E90" s="4">
        <v>150</v>
      </c>
      <c r="F90" s="5" t="s">
        <v>13</v>
      </c>
      <c r="G90" s="5" t="s">
        <v>97</v>
      </c>
      <c r="H90" s="1">
        <f t="shared" si="3"/>
        <v>750</v>
      </c>
    </row>
    <row r="91" spans="1:8" x14ac:dyDescent="0.3">
      <c r="A91" s="2" t="str">
        <f t="shared" si="2"/>
        <v>Feb-2023</v>
      </c>
      <c r="B91" s="2">
        <v>44970.342228148147</v>
      </c>
      <c r="C91" s="5" t="s">
        <v>9</v>
      </c>
      <c r="D91" s="3">
        <v>6</v>
      </c>
      <c r="E91" s="4">
        <v>3500</v>
      </c>
      <c r="F91" s="5" t="s">
        <v>10</v>
      </c>
      <c r="G91" s="5" t="s">
        <v>98</v>
      </c>
      <c r="H91" s="1">
        <f t="shared" si="3"/>
        <v>21000</v>
      </c>
    </row>
    <row r="92" spans="1:8" x14ac:dyDescent="0.3">
      <c r="A92" s="2" t="str">
        <f t="shared" si="2"/>
        <v>Feb-2023</v>
      </c>
      <c r="B92" s="2">
        <v>44970.829219479165</v>
      </c>
      <c r="C92" s="5" t="s">
        <v>17</v>
      </c>
      <c r="D92" s="3">
        <v>1</v>
      </c>
      <c r="E92" s="4">
        <v>150</v>
      </c>
      <c r="F92" s="5" t="s">
        <v>10</v>
      </c>
      <c r="G92" s="5" t="s">
        <v>99</v>
      </c>
      <c r="H92" s="1">
        <f t="shared" si="3"/>
        <v>150</v>
      </c>
    </row>
    <row r="93" spans="1:8" x14ac:dyDescent="0.3">
      <c r="A93" s="2" t="str">
        <f t="shared" si="2"/>
        <v>Feb-2023</v>
      </c>
      <c r="B93" s="2">
        <v>44971.316210810182</v>
      </c>
      <c r="C93" s="5" t="s">
        <v>9</v>
      </c>
      <c r="D93" s="3">
        <v>5</v>
      </c>
      <c r="E93" s="4">
        <v>150</v>
      </c>
      <c r="F93" s="5" t="s">
        <v>13</v>
      </c>
      <c r="G93" s="5" t="s">
        <v>100</v>
      </c>
      <c r="H93" s="1">
        <f t="shared" si="3"/>
        <v>750</v>
      </c>
    </row>
    <row r="94" spans="1:8" x14ac:dyDescent="0.3">
      <c r="A94" s="2" t="str">
        <f t="shared" si="2"/>
        <v>Feb-2023</v>
      </c>
      <c r="B94" s="2">
        <v>44971.803202129631</v>
      </c>
      <c r="C94" s="5" t="s">
        <v>17</v>
      </c>
      <c r="D94" s="3">
        <v>6</v>
      </c>
      <c r="E94" s="4">
        <v>1800</v>
      </c>
      <c r="F94" s="5" t="s">
        <v>24</v>
      </c>
      <c r="G94" s="5" t="s">
        <v>101</v>
      </c>
      <c r="H94" s="1">
        <f t="shared" si="3"/>
        <v>10800</v>
      </c>
    </row>
    <row r="95" spans="1:8" x14ac:dyDescent="0.3">
      <c r="A95" s="2" t="str">
        <f t="shared" si="2"/>
        <v>Feb-2023</v>
      </c>
      <c r="B95" s="2">
        <v>44972.290193460649</v>
      </c>
      <c r="C95" s="5" t="s">
        <v>36</v>
      </c>
      <c r="D95" s="3">
        <v>5</v>
      </c>
      <c r="E95" s="4">
        <v>1800</v>
      </c>
      <c r="F95" s="5" t="s">
        <v>10</v>
      </c>
      <c r="G95" s="5" t="s">
        <v>102</v>
      </c>
      <c r="H95" s="1">
        <f t="shared" si="3"/>
        <v>9000</v>
      </c>
    </row>
    <row r="96" spans="1:8" x14ac:dyDescent="0.3">
      <c r="A96" s="2" t="str">
        <f t="shared" si="2"/>
        <v>Feb-2023</v>
      </c>
      <c r="B96" s="2">
        <v>44972.777184791667</v>
      </c>
      <c r="C96" s="5" t="s">
        <v>6</v>
      </c>
      <c r="D96" s="3">
        <v>4</v>
      </c>
      <c r="E96" s="4">
        <v>450</v>
      </c>
      <c r="F96" s="5" t="s">
        <v>7</v>
      </c>
      <c r="G96" s="5" t="s">
        <v>103</v>
      </c>
      <c r="H96" s="1">
        <f t="shared" si="3"/>
        <v>1800</v>
      </c>
    </row>
    <row r="97" spans="1:8" x14ac:dyDescent="0.3">
      <c r="A97" s="2" t="str">
        <f t="shared" si="2"/>
        <v>Feb-2023</v>
      </c>
      <c r="B97" s="2">
        <v>44973.264176122684</v>
      </c>
      <c r="C97" s="5" t="s">
        <v>6</v>
      </c>
      <c r="D97" s="3">
        <v>1</v>
      </c>
      <c r="E97" s="4">
        <v>1200</v>
      </c>
      <c r="F97" s="5" t="s">
        <v>10</v>
      </c>
      <c r="G97" s="5" t="s">
        <v>50</v>
      </c>
      <c r="H97" s="1">
        <f t="shared" si="3"/>
        <v>1200</v>
      </c>
    </row>
    <row r="98" spans="1:8" x14ac:dyDescent="0.3">
      <c r="A98" s="2" t="str">
        <f t="shared" si="2"/>
        <v>Feb-2023</v>
      </c>
      <c r="B98" s="2">
        <v>44973.751167442133</v>
      </c>
      <c r="C98" s="5" t="s">
        <v>6</v>
      </c>
      <c r="D98" s="3">
        <v>4</v>
      </c>
      <c r="E98" s="4">
        <v>450</v>
      </c>
      <c r="F98" s="5" t="s">
        <v>7</v>
      </c>
      <c r="G98" s="5" t="s">
        <v>104</v>
      </c>
      <c r="H98" s="1">
        <f t="shared" si="3"/>
        <v>1800</v>
      </c>
    </row>
    <row r="99" spans="1:8" x14ac:dyDescent="0.3">
      <c r="A99" s="2" t="str">
        <f t="shared" si="2"/>
        <v>Feb-2023</v>
      </c>
      <c r="B99" s="2">
        <v>44974.238158773151</v>
      </c>
      <c r="C99" s="5" t="s">
        <v>9</v>
      </c>
      <c r="D99" s="3">
        <v>1</v>
      </c>
      <c r="E99" s="4">
        <v>700</v>
      </c>
      <c r="F99" s="5" t="s">
        <v>13</v>
      </c>
      <c r="G99" s="5" t="s">
        <v>105</v>
      </c>
      <c r="H99" s="1">
        <f t="shared" si="3"/>
        <v>700</v>
      </c>
    </row>
    <row r="100" spans="1:8" x14ac:dyDescent="0.3">
      <c r="A100" s="2" t="str">
        <f t="shared" si="2"/>
        <v>Feb-2023</v>
      </c>
      <c r="B100" s="2">
        <v>44974.725150104168</v>
      </c>
      <c r="C100" s="5" t="s">
        <v>36</v>
      </c>
      <c r="D100" s="3">
        <v>2</v>
      </c>
      <c r="E100" s="4">
        <v>150</v>
      </c>
      <c r="F100" s="5" t="s">
        <v>10</v>
      </c>
      <c r="G100" s="5" t="s">
        <v>106</v>
      </c>
      <c r="H100" s="1">
        <f t="shared" si="3"/>
        <v>300</v>
      </c>
    </row>
    <row r="101" spans="1:8" x14ac:dyDescent="0.3">
      <c r="A101" s="2" t="str">
        <f t="shared" si="2"/>
        <v>Feb-2023</v>
      </c>
      <c r="B101" s="2">
        <v>44975.21214142361</v>
      </c>
      <c r="C101" s="5" t="s">
        <v>9</v>
      </c>
      <c r="D101" s="3">
        <v>6</v>
      </c>
      <c r="E101" s="4">
        <v>3500</v>
      </c>
      <c r="F101" s="5" t="s">
        <v>24</v>
      </c>
      <c r="G101" s="5" t="s">
        <v>107</v>
      </c>
      <c r="H101" s="1">
        <f t="shared" si="3"/>
        <v>21000</v>
      </c>
    </row>
    <row r="102" spans="1:8" x14ac:dyDescent="0.3">
      <c r="A102" s="2" t="str">
        <f t="shared" si="2"/>
        <v>Feb-2023</v>
      </c>
      <c r="B102" s="2">
        <v>44975.699132754627</v>
      </c>
      <c r="C102" s="5" t="s">
        <v>9</v>
      </c>
      <c r="D102" s="3">
        <v>1</v>
      </c>
      <c r="E102" s="4">
        <v>150</v>
      </c>
      <c r="F102" s="5" t="s">
        <v>10</v>
      </c>
      <c r="G102" s="5" t="s">
        <v>47</v>
      </c>
      <c r="H102" s="1">
        <f t="shared" si="3"/>
        <v>150</v>
      </c>
    </row>
    <row r="103" spans="1:8" x14ac:dyDescent="0.3">
      <c r="A103" s="2" t="str">
        <f t="shared" si="2"/>
        <v>Feb-2023</v>
      </c>
      <c r="B103" s="2">
        <v>44976.186124085645</v>
      </c>
      <c r="C103" s="5" t="s">
        <v>36</v>
      </c>
      <c r="D103" s="3">
        <v>4</v>
      </c>
      <c r="E103" s="4">
        <v>150</v>
      </c>
      <c r="F103" s="5" t="s">
        <v>10</v>
      </c>
      <c r="G103" s="5" t="s">
        <v>108</v>
      </c>
      <c r="H103" s="1">
        <f t="shared" si="3"/>
        <v>600</v>
      </c>
    </row>
    <row r="104" spans="1:8" x14ac:dyDescent="0.3">
      <c r="A104" s="2" t="str">
        <f t="shared" si="2"/>
        <v>Feb-2023</v>
      </c>
      <c r="B104" s="2">
        <v>44976.673115405094</v>
      </c>
      <c r="C104" s="5" t="s">
        <v>36</v>
      </c>
      <c r="D104" s="3">
        <v>5</v>
      </c>
      <c r="E104" s="4">
        <v>450</v>
      </c>
      <c r="F104" s="5" t="s">
        <v>10</v>
      </c>
      <c r="G104" s="5" t="s">
        <v>31</v>
      </c>
      <c r="H104" s="1">
        <f t="shared" si="3"/>
        <v>2250</v>
      </c>
    </row>
    <row r="105" spans="1:8" x14ac:dyDescent="0.3">
      <c r="A105" s="2" t="str">
        <f t="shared" si="2"/>
        <v>Feb-2023</v>
      </c>
      <c r="B105" s="2">
        <v>44977.160106736112</v>
      </c>
      <c r="C105" s="5" t="s">
        <v>36</v>
      </c>
      <c r="D105" s="3">
        <v>1</v>
      </c>
      <c r="E105" s="4">
        <v>3500</v>
      </c>
      <c r="F105" s="5" t="s">
        <v>13</v>
      </c>
      <c r="G105" s="5" t="s">
        <v>109</v>
      </c>
      <c r="H105" s="1">
        <f t="shared" si="3"/>
        <v>3500</v>
      </c>
    </row>
    <row r="106" spans="1:8" x14ac:dyDescent="0.3">
      <c r="A106" s="2" t="str">
        <f t="shared" si="2"/>
        <v>Feb-2023</v>
      </c>
      <c r="B106" s="2">
        <v>44977.647098067129</v>
      </c>
      <c r="C106" s="5" t="s">
        <v>36</v>
      </c>
      <c r="D106" s="3">
        <v>6</v>
      </c>
      <c r="E106" s="4">
        <v>3500</v>
      </c>
      <c r="F106" s="5" t="s">
        <v>24</v>
      </c>
      <c r="G106" s="5" t="s">
        <v>91</v>
      </c>
      <c r="H106" s="1">
        <f t="shared" si="3"/>
        <v>21000</v>
      </c>
    </row>
    <row r="107" spans="1:8" x14ac:dyDescent="0.3">
      <c r="A107" s="2" t="str">
        <f t="shared" si="2"/>
        <v>Feb-2023</v>
      </c>
      <c r="B107" s="2">
        <v>44978.134089398147</v>
      </c>
      <c r="C107" s="5" t="s">
        <v>6</v>
      </c>
      <c r="D107" s="3">
        <v>1</v>
      </c>
      <c r="E107" s="4">
        <v>3500</v>
      </c>
      <c r="F107" s="5" t="s">
        <v>10</v>
      </c>
      <c r="G107" s="5" t="s">
        <v>110</v>
      </c>
      <c r="H107" s="1">
        <f t="shared" si="3"/>
        <v>3500</v>
      </c>
    </row>
    <row r="108" spans="1:8" x14ac:dyDescent="0.3">
      <c r="A108" s="2" t="str">
        <f t="shared" si="2"/>
        <v>Feb-2023</v>
      </c>
      <c r="B108" s="2">
        <v>44978.621080717596</v>
      </c>
      <c r="C108" s="5" t="s">
        <v>12</v>
      </c>
      <c r="D108" s="3">
        <v>3</v>
      </c>
      <c r="E108" s="4">
        <v>450</v>
      </c>
      <c r="F108" s="5" t="s">
        <v>24</v>
      </c>
      <c r="G108" s="5" t="s">
        <v>111</v>
      </c>
      <c r="H108" s="1">
        <f t="shared" si="3"/>
        <v>1350</v>
      </c>
    </row>
    <row r="109" spans="1:8" x14ac:dyDescent="0.3">
      <c r="A109" s="2" t="str">
        <f t="shared" si="2"/>
        <v>Feb-2023</v>
      </c>
      <c r="B109" s="2">
        <v>44979.108072048613</v>
      </c>
      <c r="C109" s="5" t="s">
        <v>12</v>
      </c>
      <c r="D109" s="3">
        <v>5</v>
      </c>
      <c r="E109" s="4">
        <v>150</v>
      </c>
      <c r="F109" s="5" t="s">
        <v>13</v>
      </c>
      <c r="G109" s="5" t="s">
        <v>67</v>
      </c>
      <c r="H109" s="1">
        <f t="shared" si="3"/>
        <v>750</v>
      </c>
    </row>
    <row r="110" spans="1:8" x14ac:dyDescent="0.3">
      <c r="A110" s="2" t="str">
        <f t="shared" si="2"/>
        <v>Feb-2023</v>
      </c>
      <c r="B110" s="2">
        <v>44979.595063379631</v>
      </c>
      <c r="C110" s="5" t="s">
        <v>36</v>
      </c>
      <c r="D110" s="3">
        <v>6</v>
      </c>
      <c r="E110" s="4">
        <v>450</v>
      </c>
      <c r="F110" s="5" t="s">
        <v>7</v>
      </c>
      <c r="G110" s="5" t="s">
        <v>112</v>
      </c>
      <c r="H110" s="1">
        <f t="shared" si="3"/>
        <v>2700</v>
      </c>
    </row>
    <row r="111" spans="1:8" x14ac:dyDescent="0.3">
      <c r="A111" s="2" t="str">
        <f t="shared" si="2"/>
        <v>Feb-2023</v>
      </c>
      <c r="B111" s="2">
        <v>44980.082054699073</v>
      </c>
      <c r="C111" s="5" t="s">
        <v>12</v>
      </c>
      <c r="D111" s="3">
        <v>6</v>
      </c>
      <c r="E111" s="4">
        <v>1800</v>
      </c>
      <c r="F111" s="5" t="s">
        <v>10</v>
      </c>
      <c r="G111" s="5" t="s">
        <v>113</v>
      </c>
      <c r="H111" s="1">
        <f t="shared" si="3"/>
        <v>10800</v>
      </c>
    </row>
    <row r="112" spans="1:8" x14ac:dyDescent="0.3">
      <c r="A112" s="2" t="str">
        <f t="shared" si="2"/>
        <v>Feb-2023</v>
      </c>
      <c r="B112" s="2">
        <v>44980.56904603009</v>
      </c>
      <c r="C112" s="5" t="s">
        <v>12</v>
      </c>
      <c r="D112" s="3">
        <v>2</v>
      </c>
      <c r="E112" s="4">
        <v>1800</v>
      </c>
      <c r="F112" s="5" t="s">
        <v>24</v>
      </c>
      <c r="G112" s="5" t="s">
        <v>114</v>
      </c>
      <c r="H112" s="1">
        <f t="shared" si="3"/>
        <v>3600</v>
      </c>
    </row>
    <row r="113" spans="1:8" x14ac:dyDescent="0.3">
      <c r="A113" s="2" t="str">
        <f t="shared" si="2"/>
        <v>Feb-2023</v>
      </c>
      <c r="B113" s="2">
        <v>44981.056037361108</v>
      </c>
      <c r="C113" s="5" t="s">
        <v>36</v>
      </c>
      <c r="D113" s="3">
        <v>4</v>
      </c>
      <c r="E113" s="4">
        <v>450</v>
      </c>
      <c r="F113" s="5" t="s">
        <v>24</v>
      </c>
      <c r="G113" s="5" t="s">
        <v>115</v>
      </c>
      <c r="H113" s="1">
        <f t="shared" si="3"/>
        <v>1800</v>
      </c>
    </row>
    <row r="114" spans="1:8" x14ac:dyDescent="0.3">
      <c r="A114" s="2" t="str">
        <f t="shared" si="2"/>
        <v>Feb-2023</v>
      </c>
      <c r="B114" s="2">
        <v>44981.543028680557</v>
      </c>
      <c r="C114" s="5" t="s">
        <v>12</v>
      </c>
      <c r="D114" s="3">
        <v>2</v>
      </c>
      <c r="E114" s="4">
        <v>3500</v>
      </c>
      <c r="F114" s="5" t="s">
        <v>13</v>
      </c>
      <c r="G114" s="5" t="s">
        <v>75</v>
      </c>
      <c r="H114" s="1">
        <f t="shared" si="3"/>
        <v>7000</v>
      </c>
    </row>
    <row r="115" spans="1:8" x14ac:dyDescent="0.3">
      <c r="A115" s="2" t="str">
        <f t="shared" si="2"/>
        <v>Feb-2023</v>
      </c>
      <c r="B115" s="2">
        <v>44982.030020011574</v>
      </c>
      <c r="C115" s="5" t="s">
        <v>9</v>
      </c>
      <c r="D115" s="3">
        <v>6</v>
      </c>
      <c r="E115" s="4">
        <v>150</v>
      </c>
      <c r="F115" s="5" t="s">
        <v>10</v>
      </c>
      <c r="G115" s="5" t="s">
        <v>116</v>
      </c>
      <c r="H115" s="1">
        <f t="shared" si="3"/>
        <v>900</v>
      </c>
    </row>
    <row r="116" spans="1:8" x14ac:dyDescent="0.3">
      <c r="A116" s="2" t="str">
        <f t="shared" si="2"/>
        <v>Feb-2023</v>
      </c>
      <c r="B116" s="2">
        <v>44982.517011342592</v>
      </c>
      <c r="C116" s="5" t="s">
        <v>17</v>
      </c>
      <c r="D116" s="3">
        <v>5</v>
      </c>
      <c r="E116" s="4">
        <v>450</v>
      </c>
      <c r="F116" s="5" t="s">
        <v>7</v>
      </c>
      <c r="G116" s="5" t="s">
        <v>117</v>
      </c>
      <c r="H116" s="1">
        <f t="shared" si="3"/>
        <v>2250</v>
      </c>
    </row>
    <row r="117" spans="1:8" x14ac:dyDescent="0.3">
      <c r="A117" s="2" t="str">
        <f t="shared" si="2"/>
        <v>Feb-2023</v>
      </c>
      <c r="B117" s="2">
        <v>44983.00400267361</v>
      </c>
      <c r="C117" s="5" t="s">
        <v>17</v>
      </c>
      <c r="D117" s="3">
        <v>1</v>
      </c>
      <c r="E117" s="4">
        <v>450</v>
      </c>
      <c r="F117" s="5" t="s">
        <v>24</v>
      </c>
      <c r="G117" s="5" t="s">
        <v>118</v>
      </c>
      <c r="H117" s="1">
        <f t="shared" si="3"/>
        <v>450</v>
      </c>
    </row>
    <row r="118" spans="1:8" x14ac:dyDescent="0.3">
      <c r="A118" s="2" t="str">
        <f t="shared" si="2"/>
        <v>Feb-2023</v>
      </c>
      <c r="B118" s="2">
        <v>44983.490993993059</v>
      </c>
      <c r="C118" s="5" t="s">
        <v>36</v>
      </c>
      <c r="D118" s="3">
        <v>1</v>
      </c>
      <c r="E118" s="4">
        <v>450</v>
      </c>
      <c r="F118" s="5" t="s">
        <v>10</v>
      </c>
      <c r="G118" s="5" t="s">
        <v>92</v>
      </c>
      <c r="H118" s="1">
        <f t="shared" si="3"/>
        <v>450</v>
      </c>
    </row>
    <row r="119" spans="1:8" x14ac:dyDescent="0.3">
      <c r="A119" s="2" t="str">
        <f t="shared" si="2"/>
        <v>Feb-2023</v>
      </c>
      <c r="B119" s="2">
        <v>44983.977985324076</v>
      </c>
      <c r="C119" s="5" t="s">
        <v>6</v>
      </c>
      <c r="D119" s="3">
        <v>5</v>
      </c>
      <c r="E119" s="4">
        <v>700</v>
      </c>
      <c r="F119" s="5" t="s">
        <v>7</v>
      </c>
      <c r="G119" s="5" t="s">
        <v>119</v>
      </c>
      <c r="H119" s="1">
        <f t="shared" si="3"/>
        <v>3500</v>
      </c>
    </row>
    <row r="120" spans="1:8" x14ac:dyDescent="0.3">
      <c r="A120" s="2" t="str">
        <f t="shared" si="2"/>
        <v>Feb-2023</v>
      </c>
      <c r="B120" s="2">
        <v>44984.464976655094</v>
      </c>
      <c r="C120" s="5" t="s">
        <v>36</v>
      </c>
      <c r="D120" s="3">
        <v>6</v>
      </c>
      <c r="E120" s="4">
        <v>1800</v>
      </c>
      <c r="F120" s="5" t="s">
        <v>24</v>
      </c>
      <c r="G120" s="5" t="s">
        <v>120</v>
      </c>
      <c r="H120" s="1">
        <f t="shared" si="3"/>
        <v>10800</v>
      </c>
    </row>
    <row r="121" spans="1:8" x14ac:dyDescent="0.3">
      <c r="A121" s="2" t="str">
        <f t="shared" si="2"/>
        <v>Feb-2023</v>
      </c>
      <c r="B121" s="2">
        <v>44984.951967974535</v>
      </c>
      <c r="C121" s="5" t="s">
        <v>6</v>
      </c>
      <c r="D121" s="3">
        <v>1</v>
      </c>
      <c r="E121" s="4">
        <v>3500</v>
      </c>
      <c r="F121" s="5" t="s">
        <v>24</v>
      </c>
      <c r="G121" s="5" t="s">
        <v>96</v>
      </c>
      <c r="H121" s="1">
        <f t="shared" si="3"/>
        <v>3500</v>
      </c>
    </row>
    <row r="122" spans="1:8" x14ac:dyDescent="0.3">
      <c r="A122" s="2" t="str">
        <f t="shared" si="2"/>
        <v>Feb-2023</v>
      </c>
      <c r="B122" s="2">
        <v>44985.438959305553</v>
      </c>
      <c r="C122" s="5" t="s">
        <v>17</v>
      </c>
      <c r="D122" s="3">
        <v>1</v>
      </c>
      <c r="E122" s="4">
        <v>1200</v>
      </c>
      <c r="F122" s="5" t="s">
        <v>7</v>
      </c>
      <c r="G122" s="5" t="s">
        <v>16</v>
      </c>
      <c r="H122" s="1">
        <f t="shared" si="3"/>
        <v>1200</v>
      </c>
    </row>
    <row r="123" spans="1:8" x14ac:dyDescent="0.3">
      <c r="A123" s="2" t="str">
        <f t="shared" si="2"/>
        <v>Feb-2023</v>
      </c>
      <c r="B123" s="2">
        <v>44985.925950636571</v>
      </c>
      <c r="C123" s="5" t="s">
        <v>36</v>
      </c>
      <c r="D123" s="3">
        <v>1</v>
      </c>
      <c r="E123" s="4">
        <v>3500</v>
      </c>
      <c r="F123" s="5" t="s">
        <v>7</v>
      </c>
      <c r="G123" s="5" t="s">
        <v>121</v>
      </c>
      <c r="H123" s="1">
        <f t="shared" si="3"/>
        <v>3500</v>
      </c>
    </row>
    <row r="124" spans="1:8" x14ac:dyDescent="0.3">
      <c r="A124" s="2" t="str">
        <f t="shared" si="2"/>
        <v>Mar-2023</v>
      </c>
      <c r="B124" s="2">
        <v>44986.412941956019</v>
      </c>
      <c r="C124" s="5" t="s">
        <v>26</v>
      </c>
      <c r="D124" s="3">
        <v>4</v>
      </c>
      <c r="E124" s="4">
        <v>1200</v>
      </c>
      <c r="F124" s="5" t="s">
        <v>13</v>
      </c>
      <c r="G124" s="5" t="s">
        <v>122</v>
      </c>
      <c r="H124" s="1">
        <f t="shared" si="3"/>
        <v>4800</v>
      </c>
    </row>
    <row r="125" spans="1:8" x14ac:dyDescent="0.3">
      <c r="A125" s="2" t="str">
        <f t="shared" si="2"/>
        <v>Mar-2023</v>
      </c>
      <c r="B125" s="2">
        <v>44986.899933287037</v>
      </c>
      <c r="C125" s="5" t="s">
        <v>9</v>
      </c>
      <c r="D125" s="3">
        <v>4</v>
      </c>
      <c r="E125" s="4">
        <v>700</v>
      </c>
      <c r="F125" s="5" t="s">
        <v>10</v>
      </c>
      <c r="G125" s="5" t="s">
        <v>123</v>
      </c>
      <c r="H125" s="1">
        <f t="shared" si="3"/>
        <v>2800</v>
      </c>
    </row>
    <row r="126" spans="1:8" x14ac:dyDescent="0.3">
      <c r="A126" s="2" t="str">
        <f t="shared" si="2"/>
        <v>Mar-2023</v>
      </c>
      <c r="B126" s="2">
        <v>44987.386924618055</v>
      </c>
      <c r="C126" s="5" t="s">
        <v>12</v>
      </c>
      <c r="D126" s="3">
        <v>3</v>
      </c>
      <c r="E126" s="4">
        <v>450</v>
      </c>
      <c r="F126" s="5" t="s">
        <v>10</v>
      </c>
      <c r="G126" s="5" t="s">
        <v>124</v>
      </c>
      <c r="H126" s="1">
        <f t="shared" si="3"/>
        <v>1350</v>
      </c>
    </row>
    <row r="127" spans="1:8" x14ac:dyDescent="0.3">
      <c r="A127" s="2" t="str">
        <f t="shared" si="2"/>
        <v>Mar-2023</v>
      </c>
      <c r="B127" s="2">
        <v>44987.873915949072</v>
      </c>
      <c r="C127" s="5" t="s">
        <v>6</v>
      </c>
      <c r="D127" s="3">
        <v>2</v>
      </c>
      <c r="E127" s="4">
        <v>700</v>
      </c>
      <c r="F127" s="5" t="s">
        <v>13</v>
      </c>
      <c r="G127" s="5" t="s">
        <v>125</v>
      </c>
      <c r="H127" s="1">
        <f t="shared" si="3"/>
        <v>1400</v>
      </c>
    </row>
    <row r="128" spans="1:8" x14ac:dyDescent="0.3">
      <c r="A128" s="2" t="str">
        <f t="shared" si="2"/>
        <v>Mar-2023</v>
      </c>
      <c r="B128" s="2">
        <v>44988.360907268521</v>
      </c>
      <c r="C128" s="5" t="s">
        <v>26</v>
      </c>
      <c r="D128" s="3">
        <v>5</v>
      </c>
      <c r="E128" s="4">
        <v>700</v>
      </c>
      <c r="F128" s="5" t="s">
        <v>24</v>
      </c>
      <c r="G128" s="5" t="s">
        <v>126</v>
      </c>
      <c r="H128" s="1">
        <f t="shared" si="3"/>
        <v>3500</v>
      </c>
    </row>
    <row r="129" spans="1:8" x14ac:dyDescent="0.3">
      <c r="A129" s="2" t="str">
        <f t="shared" si="2"/>
        <v>Mar-2023</v>
      </c>
      <c r="B129" s="2">
        <v>44988.847898599539</v>
      </c>
      <c r="C129" s="5" t="s">
        <v>12</v>
      </c>
      <c r="D129" s="3">
        <v>5</v>
      </c>
      <c r="E129" s="4">
        <v>150</v>
      </c>
      <c r="F129" s="5" t="s">
        <v>7</v>
      </c>
      <c r="G129" s="5" t="s">
        <v>127</v>
      </c>
      <c r="H129" s="1">
        <f t="shared" si="3"/>
        <v>750</v>
      </c>
    </row>
    <row r="130" spans="1:8" x14ac:dyDescent="0.3">
      <c r="A130" s="2" t="str">
        <f t="shared" si="2"/>
        <v>Mar-2023</v>
      </c>
      <c r="B130" s="2">
        <v>44989.334889930557</v>
      </c>
      <c r="C130" s="5" t="s">
        <v>12</v>
      </c>
      <c r="D130" s="3">
        <v>5</v>
      </c>
      <c r="E130" s="4">
        <v>1800</v>
      </c>
      <c r="F130" s="5" t="s">
        <v>7</v>
      </c>
      <c r="G130" s="5" t="s">
        <v>128</v>
      </c>
      <c r="H130" s="1">
        <f t="shared" si="3"/>
        <v>9000</v>
      </c>
    </row>
    <row r="131" spans="1:8" x14ac:dyDescent="0.3">
      <c r="A131" s="2" t="str">
        <f t="shared" ref="A131:A194" si="4">TEXT(B131, "mmm-yyyy")</f>
        <v>Mar-2023</v>
      </c>
      <c r="B131" s="2">
        <v>44989.821881249998</v>
      </c>
      <c r="C131" s="5" t="s">
        <v>36</v>
      </c>
      <c r="D131" s="3">
        <v>3</v>
      </c>
      <c r="E131" s="4">
        <v>1200</v>
      </c>
      <c r="F131" s="5" t="s">
        <v>7</v>
      </c>
      <c r="G131" s="5" t="s">
        <v>129</v>
      </c>
      <c r="H131" s="1">
        <f t="shared" ref="H131:H194" si="5" xml:space="preserve"> D131 * E131</f>
        <v>3600</v>
      </c>
    </row>
    <row r="132" spans="1:8" x14ac:dyDescent="0.3">
      <c r="A132" s="2" t="str">
        <f t="shared" si="4"/>
        <v>Mar-2023</v>
      </c>
      <c r="B132" s="2">
        <v>44990.308872581016</v>
      </c>
      <c r="C132" s="5" t="s">
        <v>12</v>
      </c>
      <c r="D132" s="3">
        <v>4</v>
      </c>
      <c r="E132" s="4">
        <v>450</v>
      </c>
      <c r="F132" s="5" t="s">
        <v>24</v>
      </c>
      <c r="G132" s="5" t="s">
        <v>130</v>
      </c>
      <c r="H132" s="1">
        <f t="shared" si="5"/>
        <v>1800</v>
      </c>
    </row>
    <row r="133" spans="1:8" x14ac:dyDescent="0.3">
      <c r="A133" s="2" t="str">
        <f t="shared" si="4"/>
        <v>Mar-2023</v>
      </c>
      <c r="B133" s="2">
        <v>44990.795863912041</v>
      </c>
      <c r="C133" s="5" t="s">
        <v>9</v>
      </c>
      <c r="D133" s="3">
        <v>6</v>
      </c>
      <c r="E133" s="4">
        <v>1200</v>
      </c>
      <c r="F133" s="5" t="s">
        <v>7</v>
      </c>
      <c r="G133" s="5" t="s">
        <v>131</v>
      </c>
      <c r="H133" s="1">
        <f t="shared" si="5"/>
        <v>7200</v>
      </c>
    </row>
    <row r="134" spans="1:8" x14ac:dyDescent="0.3">
      <c r="A134" s="2" t="str">
        <f t="shared" si="4"/>
        <v>Mar-2023</v>
      </c>
      <c r="B134" s="2">
        <v>44991.282855231482</v>
      </c>
      <c r="C134" s="5" t="s">
        <v>26</v>
      </c>
      <c r="D134" s="3">
        <v>6</v>
      </c>
      <c r="E134" s="4">
        <v>3500</v>
      </c>
      <c r="F134" s="5" t="s">
        <v>7</v>
      </c>
      <c r="G134" s="5" t="s">
        <v>132</v>
      </c>
      <c r="H134" s="1">
        <f t="shared" si="5"/>
        <v>21000</v>
      </c>
    </row>
    <row r="135" spans="1:8" x14ac:dyDescent="0.3">
      <c r="A135" s="2" t="str">
        <f t="shared" si="4"/>
        <v>Mar-2023</v>
      </c>
      <c r="B135" s="2">
        <v>44991.7698465625</v>
      </c>
      <c r="C135" s="5" t="s">
        <v>12</v>
      </c>
      <c r="D135" s="3">
        <v>3</v>
      </c>
      <c r="E135" s="4">
        <v>1200</v>
      </c>
      <c r="F135" s="5" t="s">
        <v>13</v>
      </c>
      <c r="G135" s="5" t="s">
        <v>122</v>
      </c>
      <c r="H135" s="1">
        <f t="shared" si="5"/>
        <v>3600</v>
      </c>
    </row>
    <row r="136" spans="1:8" x14ac:dyDescent="0.3">
      <c r="A136" s="2" t="str">
        <f t="shared" si="4"/>
        <v>Mar-2023</v>
      </c>
      <c r="B136" s="2">
        <v>44992.256837893518</v>
      </c>
      <c r="C136" s="5" t="s">
        <v>36</v>
      </c>
      <c r="D136" s="3">
        <v>6</v>
      </c>
      <c r="E136" s="4">
        <v>3500</v>
      </c>
      <c r="F136" s="5" t="s">
        <v>24</v>
      </c>
      <c r="G136" s="5" t="s">
        <v>62</v>
      </c>
      <c r="H136" s="1">
        <f t="shared" si="5"/>
        <v>21000</v>
      </c>
    </row>
    <row r="137" spans="1:8" x14ac:dyDescent="0.3">
      <c r="A137" s="2" t="str">
        <f t="shared" si="4"/>
        <v>Mar-2023</v>
      </c>
      <c r="B137" s="2">
        <v>44992.743829224535</v>
      </c>
      <c r="C137" s="5" t="s">
        <v>9</v>
      </c>
      <c r="D137" s="3">
        <v>5</v>
      </c>
      <c r="E137" s="4">
        <v>1800</v>
      </c>
      <c r="F137" s="5" t="s">
        <v>10</v>
      </c>
      <c r="G137" s="5" t="s">
        <v>91</v>
      </c>
      <c r="H137" s="1">
        <f t="shared" si="5"/>
        <v>9000</v>
      </c>
    </row>
    <row r="138" spans="1:8" x14ac:dyDescent="0.3">
      <c r="A138" s="2" t="str">
        <f t="shared" si="4"/>
        <v>Mar-2023</v>
      </c>
      <c r="B138" s="2">
        <v>44993.230820543984</v>
      </c>
      <c r="C138" s="5" t="s">
        <v>17</v>
      </c>
      <c r="D138" s="3">
        <v>2</v>
      </c>
      <c r="E138" s="4">
        <v>3500</v>
      </c>
      <c r="F138" s="5" t="s">
        <v>13</v>
      </c>
      <c r="G138" s="5" t="s">
        <v>46</v>
      </c>
      <c r="H138" s="1">
        <f t="shared" si="5"/>
        <v>7000</v>
      </c>
    </row>
    <row r="139" spans="1:8" x14ac:dyDescent="0.3">
      <c r="A139" s="2" t="str">
        <f t="shared" si="4"/>
        <v>Mar-2023</v>
      </c>
      <c r="B139" s="2">
        <v>44993.717811875002</v>
      </c>
      <c r="C139" s="5" t="s">
        <v>26</v>
      </c>
      <c r="D139" s="3">
        <v>1</v>
      </c>
      <c r="E139" s="4">
        <v>1200</v>
      </c>
      <c r="F139" s="5" t="s">
        <v>13</v>
      </c>
      <c r="G139" s="5" t="s">
        <v>71</v>
      </c>
      <c r="H139" s="1">
        <f t="shared" si="5"/>
        <v>1200</v>
      </c>
    </row>
    <row r="140" spans="1:8" x14ac:dyDescent="0.3">
      <c r="A140" s="2" t="str">
        <f t="shared" si="4"/>
        <v>Mar-2023</v>
      </c>
      <c r="B140" s="2">
        <v>44994.204803206019</v>
      </c>
      <c r="C140" s="5" t="s">
        <v>12</v>
      </c>
      <c r="D140" s="3">
        <v>4</v>
      </c>
      <c r="E140" s="4">
        <v>1200</v>
      </c>
      <c r="F140" s="5" t="s">
        <v>10</v>
      </c>
      <c r="G140" s="5" t="s">
        <v>133</v>
      </c>
      <c r="H140" s="1">
        <f t="shared" si="5"/>
        <v>4800</v>
      </c>
    </row>
    <row r="141" spans="1:8" x14ac:dyDescent="0.3">
      <c r="A141" s="2" t="str">
        <f t="shared" si="4"/>
        <v>Mar-2023</v>
      </c>
      <c r="B141" s="2">
        <v>44994.691794525461</v>
      </c>
      <c r="C141" s="5" t="s">
        <v>36</v>
      </c>
      <c r="D141" s="3">
        <v>4</v>
      </c>
      <c r="E141" s="4">
        <v>3500</v>
      </c>
      <c r="F141" s="5" t="s">
        <v>13</v>
      </c>
      <c r="G141" s="5" t="s">
        <v>134</v>
      </c>
      <c r="H141" s="1">
        <f t="shared" si="5"/>
        <v>14000</v>
      </c>
    </row>
    <row r="142" spans="1:8" x14ac:dyDescent="0.3">
      <c r="A142" s="2" t="str">
        <f t="shared" si="4"/>
        <v>Mar-2023</v>
      </c>
      <c r="B142" s="2">
        <v>44995.178785856478</v>
      </c>
      <c r="C142" s="5" t="s">
        <v>17</v>
      </c>
      <c r="D142" s="3">
        <v>3</v>
      </c>
      <c r="E142" s="4">
        <v>700</v>
      </c>
      <c r="F142" s="5" t="s">
        <v>24</v>
      </c>
      <c r="G142" s="5" t="s">
        <v>135</v>
      </c>
      <c r="H142" s="1">
        <f t="shared" si="5"/>
        <v>2100</v>
      </c>
    </row>
    <row r="143" spans="1:8" x14ac:dyDescent="0.3">
      <c r="A143" s="2" t="str">
        <f t="shared" si="4"/>
        <v>Mar-2023</v>
      </c>
      <c r="B143" s="2">
        <v>44995.665777187503</v>
      </c>
      <c r="C143" s="5" t="s">
        <v>17</v>
      </c>
      <c r="D143" s="3">
        <v>4</v>
      </c>
      <c r="E143" s="4">
        <v>1800</v>
      </c>
      <c r="F143" s="5" t="s">
        <v>7</v>
      </c>
      <c r="G143" s="5" t="s">
        <v>136</v>
      </c>
      <c r="H143" s="1">
        <f t="shared" si="5"/>
        <v>7200</v>
      </c>
    </row>
    <row r="144" spans="1:8" x14ac:dyDescent="0.3">
      <c r="A144" s="2" t="str">
        <f t="shared" si="4"/>
        <v>Mar-2023</v>
      </c>
      <c r="B144" s="2">
        <v>44996.152768506945</v>
      </c>
      <c r="C144" s="5" t="s">
        <v>6</v>
      </c>
      <c r="D144" s="3">
        <v>5</v>
      </c>
      <c r="E144" s="4">
        <v>150</v>
      </c>
      <c r="F144" s="5" t="s">
        <v>24</v>
      </c>
      <c r="G144" s="5" t="s">
        <v>46</v>
      </c>
      <c r="H144" s="1">
        <f t="shared" si="5"/>
        <v>750</v>
      </c>
    </row>
    <row r="145" spans="1:8" x14ac:dyDescent="0.3">
      <c r="A145" s="2" t="str">
        <f t="shared" si="4"/>
        <v>Mar-2023</v>
      </c>
      <c r="B145" s="2">
        <v>44996.639759837963</v>
      </c>
      <c r="C145" s="5" t="s">
        <v>9</v>
      </c>
      <c r="D145" s="3">
        <v>6</v>
      </c>
      <c r="E145" s="4">
        <v>450</v>
      </c>
      <c r="F145" s="5" t="s">
        <v>10</v>
      </c>
      <c r="G145" s="5" t="s">
        <v>137</v>
      </c>
      <c r="H145" s="1">
        <f t="shared" si="5"/>
        <v>2700</v>
      </c>
    </row>
    <row r="146" spans="1:8" x14ac:dyDescent="0.3">
      <c r="A146" s="2" t="str">
        <f t="shared" si="4"/>
        <v>Mar-2023</v>
      </c>
      <c r="B146" s="2">
        <v>44997.12675116898</v>
      </c>
      <c r="C146" s="5" t="s">
        <v>12</v>
      </c>
      <c r="D146" s="3">
        <v>5</v>
      </c>
      <c r="E146" s="4">
        <v>1200</v>
      </c>
      <c r="F146" s="5" t="s">
        <v>10</v>
      </c>
      <c r="G146" s="5" t="s">
        <v>138</v>
      </c>
      <c r="H146" s="1">
        <f t="shared" si="5"/>
        <v>6000</v>
      </c>
    </row>
    <row r="147" spans="1:8" x14ac:dyDescent="0.3">
      <c r="A147" s="2" t="str">
        <f t="shared" si="4"/>
        <v>Mar-2023</v>
      </c>
      <c r="B147" s="2">
        <v>44997.613742499998</v>
      </c>
      <c r="C147" s="5" t="s">
        <v>36</v>
      </c>
      <c r="D147" s="3">
        <v>3</v>
      </c>
      <c r="E147" s="4">
        <v>450</v>
      </c>
      <c r="F147" s="5" t="s">
        <v>13</v>
      </c>
      <c r="G147" s="5" t="s">
        <v>139</v>
      </c>
      <c r="H147" s="1">
        <f t="shared" si="5"/>
        <v>1350</v>
      </c>
    </row>
    <row r="148" spans="1:8" x14ac:dyDescent="0.3">
      <c r="A148" s="2" t="str">
        <f t="shared" si="4"/>
        <v>Mar-2023</v>
      </c>
      <c r="B148" s="2">
        <v>44998.100733819447</v>
      </c>
      <c r="C148" s="5" t="s">
        <v>6</v>
      </c>
      <c r="D148" s="3">
        <v>5</v>
      </c>
      <c r="E148" s="4">
        <v>150</v>
      </c>
      <c r="F148" s="5" t="s">
        <v>24</v>
      </c>
      <c r="G148" s="5" t="s">
        <v>54</v>
      </c>
      <c r="H148" s="1">
        <f t="shared" si="5"/>
        <v>750</v>
      </c>
    </row>
    <row r="149" spans="1:8" x14ac:dyDescent="0.3">
      <c r="A149" s="2" t="str">
        <f t="shared" si="4"/>
        <v>Mar-2023</v>
      </c>
      <c r="B149" s="2">
        <v>44998.587725150464</v>
      </c>
      <c r="C149" s="5" t="s">
        <v>9</v>
      </c>
      <c r="D149" s="3">
        <v>6</v>
      </c>
      <c r="E149" s="4">
        <v>450</v>
      </c>
      <c r="F149" s="5" t="s">
        <v>24</v>
      </c>
      <c r="G149" s="5" t="s">
        <v>140</v>
      </c>
      <c r="H149" s="1">
        <f t="shared" si="5"/>
        <v>2700</v>
      </c>
    </row>
    <row r="150" spans="1:8" x14ac:dyDescent="0.3">
      <c r="A150" s="2" t="str">
        <f t="shared" si="4"/>
        <v>Mar-2023</v>
      </c>
      <c r="B150" s="2">
        <v>44999.074716481482</v>
      </c>
      <c r="C150" s="5" t="s">
        <v>6</v>
      </c>
      <c r="D150" s="3">
        <v>2</v>
      </c>
      <c r="E150" s="4">
        <v>150</v>
      </c>
      <c r="F150" s="5" t="s">
        <v>10</v>
      </c>
      <c r="G150" s="5" t="s">
        <v>141</v>
      </c>
      <c r="H150" s="1">
        <f t="shared" si="5"/>
        <v>300</v>
      </c>
    </row>
    <row r="151" spans="1:8" x14ac:dyDescent="0.3">
      <c r="A151" s="2" t="str">
        <f t="shared" si="4"/>
        <v>Mar-2023</v>
      </c>
      <c r="B151" s="2">
        <v>44999.561707800924</v>
      </c>
      <c r="C151" s="5" t="s">
        <v>26</v>
      </c>
      <c r="D151" s="3">
        <v>3</v>
      </c>
      <c r="E151" s="4">
        <v>3500</v>
      </c>
      <c r="F151" s="5" t="s">
        <v>24</v>
      </c>
      <c r="G151" s="5" t="s">
        <v>142</v>
      </c>
      <c r="H151" s="1">
        <f t="shared" si="5"/>
        <v>10500</v>
      </c>
    </row>
    <row r="152" spans="1:8" x14ac:dyDescent="0.3">
      <c r="A152" s="2" t="str">
        <f t="shared" si="4"/>
        <v>Mar-2023</v>
      </c>
      <c r="B152" s="2">
        <v>45000.048699131941</v>
      </c>
      <c r="C152" s="5" t="s">
        <v>9</v>
      </c>
      <c r="D152" s="3">
        <v>2</v>
      </c>
      <c r="E152" s="4">
        <v>700</v>
      </c>
      <c r="F152" s="5" t="s">
        <v>10</v>
      </c>
      <c r="G152" s="5" t="s">
        <v>143</v>
      </c>
      <c r="H152" s="1">
        <f t="shared" si="5"/>
        <v>1400</v>
      </c>
    </row>
    <row r="153" spans="1:8" x14ac:dyDescent="0.3">
      <c r="A153" s="2" t="str">
        <f t="shared" si="4"/>
        <v>Mar-2023</v>
      </c>
      <c r="B153" s="2">
        <v>45000.535690462966</v>
      </c>
      <c r="C153" s="5" t="s">
        <v>9</v>
      </c>
      <c r="D153" s="3">
        <v>1</v>
      </c>
      <c r="E153" s="4">
        <v>1200</v>
      </c>
      <c r="F153" s="5" t="s">
        <v>24</v>
      </c>
      <c r="G153" s="5" t="s">
        <v>16</v>
      </c>
      <c r="H153" s="1">
        <f t="shared" si="5"/>
        <v>1200</v>
      </c>
    </row>
    <row r="154" spans="1:8" x14ac:dyDescent="0.3">
      <c r="A154" s="2" t="str">
        <f t="shared" si="4"/>
        <v>Mar-2023</v>
      </c>
      <c r="B154" s="2">
        <v>45001.022681782408</v>
      </c>
      <c r="C154" s="5" t="s">
        <v>12</v>
      </c>
      <c r="D154" s="3">
        <v>2</v>
      </c>
      <c r="E154" s="4">
        <v>150</v>
      </c>
      <c r="F154" s="5" t="s">
        <v>24</v>
      </c>
      <c r="G154" s="5" t="s">
        <v>144</v>
      </c>
      <c r="H154" s="1">
        <f t="shared" si="5"/>
        <v>300</v>
      </c>
    </row>
    <row r="155" spans="1:8" x14ac:dyDescent="0.3">
      <c r="A155" s="2" t="str">
        <f t="shared" si="4"/>
        <v>Mar-2023</v>
      </c>
      <c r="B155" s="2">
        <v>45001.509673113425</v>
      </c>
      <c r="C155" s="5" t="s">
        <v>9</v>
      </c>
      <c r="D155" s="3">
        <v>1</v>
      </c>
      <c r="E155" s="4">
        <v>450</v>
      </c>
      <c r="F155" s="5" t="s">
        <v>24</v>
      </c>
      <c r="G155" s="5" t="s">
        <v>145</v>
      </c>
      <c r="H155" s="1">
        <f t="shared" si="5"/>
        <v>450</v>
      </c>
    </row>
    <row r="156" spans="1:8" x14ac:dyDescent="0.3">
      <c r="A156" s="2" t="str">
        <f t="shared" si="4"/>
        <v>Mar-2023</v>
      </c>
      <c r="B156" s="2">
        <v>45001.996664444443</v>
      </c>
      <c r="C156" s="5" t="s">
        <v>6</v>
      </c>
      <c r="D156" s="3">
        <v>1</v>
      </c>
      <c r="E156" s="4">
        <v>1200</v>
      </c>
      <c r="F156" s="5" t="s">
        <v>10</v>
      </c>
      <c r="G156" s="5" t="s">
        <v>146</v>
      </c>
      <c r="H156" s="1">
        <f t="shared" si="5"/>
        <v>1200</v>
      </c>
    </row>
    <row r="157" spans="1:8" x14ac:dyDescent="0.3">
      <c r="A157" s="2" t="str">
        <f t="shared" si="4"/>
        <v>Mar-2023</v>
      </c>
      <c r="B157" s="2">
        <v>45002.483655775461</v>
      </c>
      <c r="C157" s="5" t="s">
        <v>9</v>
      </c>
      <c r="D157" s="3">
        <v>2</v>
      </c>
      <c r="E157" s="4">
        <v>700</v>
      </c>
      <c r="F157" s="5" t="s">
        <v>13</v>
      </c>
      <c r="G157" s="5" t="s">
        <v>147</v>
      </c>
      <c r="H157" s="1">
        <f t="shared" si="5"/>
        <v>1400</v>
      </c>
    </row>
    <row r="158" spans="1:8" x14ac:dyDescent="0.3">
      <c r="A158" s="2" t="str">
        <f t="shared" si="4"/>
        <v>Mar-2023</v>
      </c>
      <c r="B158" s="2">
        <v>45002.97064709491</v>
      </c>
      <c r="C158" s="5" t="s">
        <v>12</v>
      </c>
      <c r="D158" s="3">
        <v>3</v>
      </c>
      <c r="E158" s="4">
        <v>3500</v>
      </c>
      <c r="F158" s="5" t="s">
        <v>24</v>
      </c>
      <c r="G158" s="5" t="s">
        <v>119</v>
      </c>
      <c r="H158" s="1">
        <f t="shared" si="5"/>
        <v>10500</v>
      </c>
    </row>
    <row r="159" spans="1:8" x14ac:dyDescent="0.3">
      <c r="A159" s="2" t="str">
        <f t="shared" si="4"/>
        <v>Mar-2023</v>
      </c>
      <c r="B159" s="2">
        <v>45003.457638425927</v>
      </c>
      <c r="C159" s="5" t="s">
        <v>12</v>
      </c>
      <c r="D159" s="3">
        <v>6</v>
      </c>
      <c r="E159" s="4">
        <v>1200</v>
      </c>
      <c r="F159" s="5" t="s">
        <v>10</v>
      </c>
      <c r="G159" s="5" t="s">
        <v>148</v>
      </c>
      <c r="H159" s="1">
        <f t="shared" si="5"/>
        <v>7200</v>
      </c>
    </row>
    <row r="160" spans="1:8" x14ac:dyDescent="0.3">
      <c r="A160" s="2" t="str">
        <f t="shared" si="4"/>
        <v>Mar-2023</v>
      </c>
      <c r="B160" s="2">
        <v>45003.944629756945</v>
      </c>
      <c r="C160" s="5" t="s">
        <v>26</v>
      </c>
      <c r="D160" s="3">
        <v>5</v>
      </c>
      <c r="E160" s="4">
        <v>150</v>
      </c>
      <c r="F160" s="5" t="s">
        <v>10</v>
      </c>
      <c r="G160" s="5" t="s">
        <v>149</v>
      </c>
      <c r="H160" s="1">
        <f t="shared" si="5"/>
        <v>750</v>
      </c>
    </row>
    <row r="161" spans="1:8" x14ac:dyDescent="0.3">
      <c r="A161" s="2" t="str">
        <f t="shared" si="4"/>
        <v>Mar-2023</v>
      </c>
      <c r="B161" s="2">
        <v>45004.431621076386</v>
      </c>
      <c r="C161" s="5" t="s">
        <v>6</v>
      </c>
      <c r="D161" s="3">
        <v>5</v>
      </c>
      <c r="E161" s="4">
        <v>700</v>
      </c>
      <c r="F161" s="5" t="s">
        <v>24</v>
      </c>
      <c r="G161" s="5" t="s">
        <v>150</v>
      </c>
      <c r="H161" s="1">
        <f t="shared" si="5"/>
        <v>3500</v>
      </c>
    </row>
    <row r="162" spans="1:8" x14ac:dyDescent="0.3">
      <c r="A162" s="2" t="str">
        <f t="shared" si="4"/>
        <v>Mar-2023</v>
      </c>
      <c r="B162" s="2">
        <v>45004.918612407404</v>
      </c>
      <c r="C162" s="5" t="s">
        <v>17</v>
      </c>
      <c r="D162" s="3">
        <v>6</v>
      </c>
      <c r="E162" s="4">
        <v>450</v>
      </c>
      <c r="F162" s="5" t="s">
        <v>24</v>
      </c>
      <c r="G162" s="5" t="s">
        <v>151</v>
      </c>
      <c r="H162" s="1">
        <f t="shared" si="5"/>
        <v>2700</v>
      </c>
    </row>
    <row r="163" spans="1:8" x14ac:dyDescent="0.3">
      <c r="A163" s="2" t="str">
        <f t="shared" si="4"/>
        <v>Mar-2023</v>
      </c>
      <c r="B163" s="2">
        <v>45005.405603738429</v>
      </c>
      <c r="C163" s="5" t="s">
        <v>17</v>
      </c>
      <c r="D163" s="3">
        <v>1</v>
      </c>
      <c r="E163" s="4">
        <v>700</v>
      </c>
      <c r="F163" s="5" t="s">
        <v>13</v>
      </c>
      <c r="G163" s="5" t="s">
        <v>152</v>
      </c>
      <c r="H163" s="1">
        <f t="shared" si="5"/>
        <v>700</v>
      </c>
    </row>
    <row r="164" spans="1:8" x14ac:dyDescent="0.3">
      <c r="A164" s="2" t="str">
        <f t="shared" si="4"/>
        <v>Mar-2023</v>
      </c>
      <c r="B164" s="2">
        <v>45005.89259505787</v>
      </c>
      <c r="C164" s="5" t="s">
        <v>9</v>
      </c>
      <c r="D164" s="3">
        <v>1</v>
      </c>
      <c r="E164" s="4">
        <v>700</v>
      </c>
      <c r="F164" s="5" t="s">
        <v>10</v>
      </c>
      <c r="G164" s="5" t="s">
        <v>153</v>
      </c>
      <c r="H164" s="1">
        <f t="shared" si="5"/>
        <v>700</v>
      </c>
    </row>
    <row r="165" spans="1:8" x14ac:dyDescent="0.3">
      <c r="A165" s="2" t="str">
        <f t="shared" si="4"/>
        <v>Mar-2023</v>
      </c>
      <c r="B165" s="2">
        <v>45006.379586388888</v>
      </c>
      <c r="C165" s="5" t="s">
        <v>26</v>
      </c>
      <c r="D165" s="3">
        <v>3</v>
      </c>
      <c r="E165" s="4">
        <v>1800</v>
      </c>
      <c r="F165" s="5" t="s">
        <v>10</v>
      </c>
      <c r="G165" s="5" t="s">
        <v>30</v>
      </c>
      <c r="H165" s="1">
        <f t="shared" si="5"/>
        <v>5400</v>
      </c>
    </row>
    <row r="166" spans="1:8" x14ac:dyDescent="0.3">
      <c r="A166" s="2" t="str">
        <f t="shared" si="4"/>
        <v>Mar-2023</v>
      </c>
      <c r="B166" s="2">
        <v>45006.866577719906</v>
      </c>
      <c r="C166" s="5" t="s">
        <v>36</v>
      </c>
      <c r="D166" s="3">
        <v>4</v>
      </c>
      <c r="E166" s="4">
        <v>700</v>
      </c>
      <c r="F166" s="5" t="s">
        <v>7</v>
      </c>
      <c r="G166" s="5" t="s">
        <v>28</v>
      </c>
      <c r="H166" s="1">
        <f t="shared" si="5"/>
        <v>2800</v>
      </c>
    </row>
    <row r="167" spans="1:8" x14ac:dyDescent="0.3">
      <c r="A167" s="2" t="str">
        <f t="shared" si="4"/>
        <v>Mar-2023</v>
      </c>
      <c r="B167" s="2">
        <v>45007.353569050923</v>
      </c>
      <c r="C167" s="5" t="s">
        <v>9</v>
      </c>
      <c r="D167" s="3">
        <v>2</v>
      </c>
      <c r="E167" s="4">
        <v>700</v>
      </c>
      <c r="F167" s="5" t="s">
        <v>10</v>
      </c>
      <c r="G167" s="5" t="s">
        <v>57</v>
      </c>
      <c r="H167" s="1">
        <f t="shared" si="5"/>
        <v>1400</v>
      </c>
    </row>
    <row r="168" spans="1:8" x14ac:dyDescent="0.3">
      <c r="A168" s="2" t="str">
        <f t="shared" si="4"/>
        <v>Mar-2023</v>
      </c>
      <c r="B168" s="2">
        <v>45007.840560370372</v>
      </c>
      <c r="C168" s="5" t="s">
        <v>26</v>
      </c>
      <c r="D168" s="3">
        <v>1</v>
      </c>
      <c r="E168" s="4">
        <v>1200</v>
      </c>
      <c r="F168" s="5" t="s">
        <v>13</v>
      </c>
      <c r="G168" s="5" t="s">
        <v>154</v>
      </c>
      <c r="H168" s="1">
        <f t="shared" si="5"/>
        <v>1200</v>
      </c>
    </row>
    <row r="169" spans="1:8" x14ac:dyDescent="0.3">
      <c r="A169" s="2" t="str">
        <f t="shared" si="4"/>
        <v>Mar-2023</v>
      </c>
      <c r="B169" s="2">
        <v>45008.32755170139</v>
      </c>
      <c r="C169" s="5" t="s">
        <v>6</v>
      </c>
      <c r="D169" s="3">
        <v>5</v>
      </c>
      <c r="E169" s="4">
        <v>450</v>
      </c>
      <c r="F169" s="5" t="s">
        <v>7</v>
      </c>
      <c r="G169" s="5" t="s">
        <v>155</v>
      </c>
      <c r="H169" s="1">
        <f t="shared" si="5"/>
        <v>2250</v>
      </c>
    </row>
    <row r="170" spans="1:8" x14ac:dyDescent="0.3">
      <c r="A170" s="2" t="str">
        <f t="shared" si="4"/>
        <v>Mar-2023</v>
      </c>
      <c r="B170" s="2">
        <v>45008.814543032408</v>
      </c>
      <c r="C170" s="5" t="s">
        <v>6</v>
      </c>
      <c r="D170" s="3">
        <v>3</v>
      </c>
      <c r="E170" s="4">
        <v>1200</v>
      </c>
      <c r="F170" s="5" t="s">
        <v>7</v>
      </c>
      <c r="G170" s="5" t="s">
        <v>156</v>
      </c>
      <c r="H170" s="1">
        <f t="shared" si="5"/>
        <v>3600</v>
      </c>
    </row>
    <row r="171" spans="1:8" x14ac:dyDescent="0.3">
      <c r="A171" s="2" t="str">
        <f t="shared" si="4"/>
        <v>Mar-2023</v>
      </c>
      <c r="B171" s="2">
        <v>45009.301534351849</v>
      </c>
      <c r="C171" s="5" t="s">
        <v>6</v>
      </c>
      <c r="D171" s="3">
        <v>2</v>
      </c>
      <c r="E171" s="4">
        <v>1200</v>
      </c>
      <c r="F171" s="5" t="s">
        <v>7</v>
      </c>
      <c r="G171" s="5" t="s">
        <v>157</v>
      </c>
      <c r="H171" s="1">
        <f t="shared" si="5"/>
        <v>2400</v>
      </c>
    </row>
    <row r="172" spans="1:8" x14ac:dyDescent="0.3">
      <c r="A172" s="2" t="str">
        <f t="shared" si="4"/>
        <v>Mar-2023</v>
      </c>
      <c r="B172" s="2">
        <v>45009.788525682867</v>
      </c>
      <c r="C172" s="5" t="s">
        <v>6</v>
      </c>
      <c r="D172" s="3">
        <v>3</v>
      </c>
      <c r="E172" s="4">
        <v>150</v>
      </c>
      <c r="F172" s="5" t="s">
        <v>24</v>
      </c>
      <c r="G172" s="5" t="s">
        <v>91</v>
      </c>
      <c r="H172" s="1">
        <f t="shared" si="5"/>
        <v>450</v>
      </c>
    </row>
    <row r="173" spans="1:8" x14ac:dyDescent="0.3">
      <c r="A173" s="2" t="str">
        <f t="shared" si="4"/>
        <v>Mar-2023</v>
      </c>
      <c r="B173" s="2">
        <v>45010.275517013892</v>
      </c>
      <c r="C173" s="5" t="s">
        <v>6</v>
      </c>
      <c r="D173" s="3">
        <v>2</v>
      </c>
      <c r="E173" s="4">
        <v>1200</v>
      </c>
      <c r="F173" s="5" t="s">
        <v>24</v>
      </c>
      <c r="G173" s="5" t="s">
        <v>158</v>
      </c>
      <c r="H173" s="1">
        <f t="shared" si="5"/>
        <v>2400</v>
      </c>
    </row>
    <row r="174" spans="1:8" x14ac:dyDescent="0.3">
      <c r="A174" s="2" t="str">
        <f t="shared" si="4"/>
        <v>Mar-2023</v>
      </c>
      <c r="B174" s="2">
        <v>45010.762508333333</v>
      </c>
      <c r="C174" s="5" t="s">
        <v>26</v>
      </c>
      <c r="D174" s="3">
        <v>2</v>
      </c>
      <c r="E174" s="4">
        <v>1800</v>
      </c>
      <c r="F174" s="5" t="s">
        <v>10</v>
      </c>
      <c r="G174" s="5" t="s">
        <v>159</v>
      </c>
      <c r="H174" s="1">
        <f t="shared" si="5"/>
        <v>3600</v>
      </c>
    </row>
    <row r="175" spans="1:8" x14ac:dyDescent="0.3">
      <c r="A175" s="2" t="str">
        <f t="shared" si="4"/>
        <v>Mar-2023</v>
      </c>
      <c r="B175" s="2">
        <v>45011.249499664351</v>
      </c>
      <c r="C175" s="5" t="s">
        <v>26</v>
      </c>
      <c r="D175" s="3">
        <v>6</v>
      </c>
      <c r="E175" s="4">
        <v>1800</v>
      </c>
      <c r="F175" s="5" t="s">
        <v>7</v>
      </c>
      <c r="G175" s="5" t="s">
        <v>160</v>
      </c>
      <c r="H175" s="1">
        <f t="shared" si="5"/>
        <v>10800</v>
      </c>
    </row>
    <row r="176" spans="1:8" x14ac:dyDescent="0.3">
      <c r="A176" s="2" t="str">
        <f t="shared" si="4"/>
        <v>Mar-2023</v>
      </c>
      <c r="B176" s="2">
        <v>45011.736490995369</v>
      </c>
      <c r="C176" s="5" t="s">
        <v>12</v>
      </c>
      <c r="D176" s="3">
        <v>1</v>
      </c>
      <c r="E176" s="4">
        <v>150</v>
      </c>
      <c r="F176" s="5" t="s">
        <v>13</v>
      </c>
      <c r="G176" s="5" t="s">
        <v>161</v>
      </c>
      <c r="H176" s="1">
        <f t="shared" si="5"/>
        <v>150</v>
      </c>
    </row>
    <row r="177" spans="1:8" x14ac:dyDescent="0.3">
      <c r="A177" s="2" t="str">
        <f t="shared" si="4"/>
        <v>Mar-2023</v>
      </c>
      <c r="B177" s="2">
        <v>45012.223482326386</v>
      </c>
      <c r="C177" s="5" t="s">
        <v>17</v>
      </c>
      <c r="D177" s="3">
        <v>3</v>
      </c>
      <c r="E177" s="4">
        <v>3500</v>
      </c>
      <c r="F177" s="5" t="s">
        <v>24</v>
      </c>
      <c r="G177" s="5" t="s">
        <v>8</v>
      </c>
      <c r="H177" s="1">
        <f t="shared" si="5"/>
        <v>10500</v>
      </c>
    </row>
    <row r="178" spans="1:8" x14ac:dyDescent="0.3">
      <c r="A178" s="2" t="str">
        <f t="shared" si="4"/>
        <v>Mar-2023</v>
      </c>
      <c r="B178" s="2">
        <v>45012.710473645835</v>
      </c>
      <c r="C178" s="5" t="s">
        <v>6</v>
      </c>
      <c r="D178" s="3">
        <v>3</v>
      </c>
      <c r="E178" s="4">
        <v>450</v>
      </c>
      <c r="F178" s="5" t="s">
        <v>13</v>
      </c>
      <c r="G178" s="5" t="s">
        <v>97</v>
      </c>
      <c r="H178" s="1">
        <f t="shared" si="5"/>
        <v>1350</v>
      </c>
    </row>
    <row r="179" spans="1:8" x14ac:dyDescent="0.3">
      <c r="A179" s="2" t="str">
        <f t="shared" si="4"/>
        <v>Mar-2023</v>
      </c>
      <c r="B179" s="2">
        <v>45013.197464976853</v>
      </c>
      <c r="C179" s="5" t="s">
        <v>36</v>
      </c>
      <c r="D179" s="3">
        <v>6</v>
      </c>
      <c r="E179" s="4">
        <v>450</v>
      </c>
      <c r="F179" s="5" t="s">
        <v>13</v>
      </c>
      <c r="G179" s="5" t="s">
        <v>18</v>
      </c>
      <c r="H179" s="1">
        <f t="shared" si="5"/>
        <v>2700</v>
      </c>
    </row>
    <row r="180" spans="1:8" x14ac:dyDescent="0.3">
      <c r="A180" s="2" t="str">
        <f t="shared" si="4"/>
        <v>Mar-2023</v>
      </c>
      <c r="B180" s="2">
        <v>45013.68445630787</v>
      </c>
      <c r="C180" s="5" t="s">
        <v>26</v>
      </c>
      <c r="D180" s="3">
        <v>5</v>
      </c>
      <c r="E180" s="4">
        <v>1200</v>
      </c>
      <c r="F180" s="5" t="s">
        <v>24</v>
      </c>
      <c r="G180" s="5" t="s">
        <v>162</v>
      </c>
      <c r="H180" s="1">
        <f t="shared" si="5"/>
        <v>6000</v>
      </c>
    </row>
    <row r="181" spans="1:8" x14ac:dyDescent="0.3">
      <c r="A181" s="2" t="str">
        <f t="shared" si="4"/>
        <v>Mar-2023</v>
      </c>
      <c r="B181" s="2">
        <v>45014.171447627312</v>
      </c>
      <c r="C181" s="5" t="s">
        <v>36</v>
      </c>
      <c r="D181" s="3">
        <v>5</v>
      </c>
      <c r="E181" s="4">
        <v>1200</v>
      </c>
      <c r="F181" s="5" t="s">
        <v>24</v>
      </c>
      <c r="G181" s="5" t="s">
        <v>74</v>
      </c>
      <c r="H181" s="1">
        <f t="shared" si="5"/>
        <v>6000</v>
      </c>
    </row>
    <row r="182" spans="1:8" x14ac:dyDescent="0.3">
      <c r="A182" s="2" t="str">
        <f t="shared" si="4"/>
        <v>Mar-2023</v>
      </c>
      <c r="B182" s="2">
        <v>45014.658438958337</v>
      </c>
      <c r="C182" s="5" t="s">
        <v>36</v>
      </c>
      <c r="D182" s="3">
        <v>1</v>
      </c>
      <c r="E182" s="4">
        <v>3500</v>
      </c>
      <c r="F182" s="5" t="s">
        <v>24</v>
      </c>
      <c r="G182" s="5" t="s">
        <v>163</v>
      </c>
      <c r="H182" s="1">
        <f t="shared" si="5"/>
        <v>3500</v>
      </c>
    </row>
    <row r="183" spans="1:8" x14ac:dyDescent="0.3">
      <c r="A183" s="2" t="str">
        <f t="shared" si="4"/>
        <v>Mar-2023</v>
      </c>
      <c r="B183" s="2">
        <v>45015.145430289354</v>
      </c>
      <c r="C183" s="5" t="s">
        <v>36</v>
      </c>
      <c r="D183" s="3">
        <v>1</v>
      </c>
      <c r="E183" s="4">
        <v>1200</v>
      </c>
      <c r="F183" s="5" t="s">
        <v>24</v>
      </c>
      <c r="G183" s="5" t="s">
        <v>164</v>
      </c>
      <c r="H183" s="1">
        <f t="shared" si="5"/>
        <v>1200</v>
      </c>
    </row>
    <row r="184" spans="1:8" x14ac:dyDescent="0.3">
      <c r="A184" s="2" t="str">
        <f t="shared" si="4"/>
        <v>Mar-2023</v>
      </c>
      <c r="B184" s="2">
        <v>45015.632421608796</v>
      </c>
      <c r="C184" s="5" t="s">
        <v>12</v>
      </c>
      <c r="D184" s="3">
        <v>4</v>
      </c>
      <c r="E184" s="4">
        <v>450</v>
      </c>
      <c r="F184" s="5" t="s">
        <v>7</v>
      </c>
      <c r="G184" s="5" t="s">
        <v>165</v>
      </c>
      <c r="H184" s="1">
        <f t="shared" si="5"/>
        <v>1800</v>
      </c>
    </row>
    <row r="185" spans="1:8" x14ac:dyDescent="0.3">
      <c r="A185" s="2" t="str">
        <f t="shared" si="4"/>
        <v>Mar-2023</v>
      </c>
      <c r="B185" s="2">
        <v>45016.119412939814</v>
      </c>
      <c r="C185" s="5" t="s">
        <v>26</v>
      </c>
      <c r="D185" s="3">
        <v>6</v>
      </c>
      <c r="E185" s="4">
        <v>700</v>
      </c>
      <c r="F185" s="5" t="s">
        <v>7</v>
      </c>
      <c r="G185" s="5" t="s">
        <v>127</v>
      </c>
      <c r="H185" s="1">
        <f t="shared" si="5"/>
        <v>4200</v>
      </c>
    </row>
    <row r="186" spans="1:8" x14ac:dyDescent="0.3">
      <c r="A186" s="2" t="str">
        <f t="shared" si="4"/>
        <v>Mar-2023</v>
      </c>
      <c r="B186" s="2">
        <v>45016.606404270831</v>
      </c>
      <c r="C186" s="5" t="s">
        <v>36</v>
      </c>
      <c r="D186" s="3">
        <v>5</v>
      </c>
      <c r="E186" s="4">
        <v>1800</v>
      </c>
      <c r="F186" s="5" t="s">
        <v>7</v>
      </c>
      <c r="G186" s="5" t="s">
        <v>42</v>
      </c>
      <c r="H186" s="1">
        <f t="shared" si="5"/>
        <v>9000</v>
      </c>
    </row>
    <row r="187" spans="1:8" x14ac:dyDescent="0.3">
      <c r="A187" s="2" t="str">
        <f t="shared" si="4"/>
        <v>Apr-2023</v>
      </c>
      <c r="B187" s="2">
        <v>45017.093395601849</v>
      </c>
      <c r="C187" s="5" t="s">
        <v>6</v>
      </c>
      <c r="D187" s="3">
        <v>2</v>
      </c>
      <c r="E187" s="4">
        <v>700</v>
      </c>
      <c r="F187" s="5" t="s">
        <v>7</v>
      </c>
      <c r="G187" s="5" t="s">
        <v>20</v>
      </c>
      <c r="H187" s="1">
        <f t="shared" si="5"/>
        <v>1400</v>
      </c>
    </row>
    <row r="188" spans="1:8" x14ac:dyDescent="0.3">
      <c r="A188" s="2" t="str">
        <f t="shared" si="4"/>
        <v>Apr-2023</v>
      </c>
      <c r="B188" s="2">
        <v>45017.580386921298</v>
      </c>
      <c r="C188" s="5" t="s">
        <v>9</v>
      </c>
      <c r="D188" s="3">
        <v>3</v>
      </c>
      <c r="E188" s="4">
        <v>700</v>
      </c>
      <c r="F188" s="5" t="s">
        <v>10</v>
      </c>
      <c r="G188" s="5" t="s">
        <v>166</v>
      </c>
      <c r="H188" s="1">
        <f t="shared" si="5"/>
        <v>2100</v>
      </c>
    </row>
    <row r="189" spans="1:8" x14ac:dyDescent="0.3">
      <c r="A189" s="2" t="str">
        <f t="shared" si="4"/>
        <v>Apr-2023</v>
      </c>
      <c r="B189" s="2">
        <v>45018.067378252315</v>
      </c>
      <c r="C189" s="5" t="s">
        <v>36</v>
      </c>
      <c r="D189" s="3">
        <v>1</v>
      </c>
      <c r="E189" s="4">
        <v>450</v>
      </c>
      <c r="F189" s="5" t="s">
        <v>7</v>
      </c>
      <c r="G189" s="5" t="s">
        <v>167</v>
      </c>
      <c r="H189" s="1">
        <f t="shared" si="5"/>
        <v>450</v>
      </c>
    </row>
    <row r="190" spans="1:8" x14ac:dyDescent="0.3">
      <c r="A190" s="2" t="str">
        <f t="shared" si="4"/>
        <v>Apr-2023</v>
      </c>
      <c r="B190" s="2">
        <v>45018.554369583333</v>
      </c>
      <c r="C190" s="5" t="s">
        <v>12</v>
      </c>
      <c r="D190" s="3">
        <v>3</v>
      </c>
      <c r="E190" s="4">
        <v>700</v>
      </c>
      <c r="F190" s="5" t="s">
        <v>24</v>
      </c>
      <c r="G190" s="5" t="s">
        <v>124</v>
      </c>
      <c r="H190" s="1">
        <f t="shared" si="5"/>
        <v>2100</v>
      </c>
    </row>
    <row r="191" spans="1:8" x14ac:dyDescent="0.3">
      <c r="A191" s="2" t="str">
        <f t="shared" si="4"/>
        <v>Apr-2023</v>
      </c>
      <c r="B191" s="2">
        <v>45019.041360902775</v>
      </c>
      <c r="C191" s="5" t="s">
        <v>26</v>
      </c>
      <c r="D191" s="3">
        <v>3</v>
      </c>
      <c r="E191" s="4">
        <v>3500</v>
      </c>
      <c r="F191" s="5" t="s">
        <v>13</v>
      </c>
      <c r="G191" s="5" t="s">
        <v>168</v>
      </c>
      <c r="H191" s="1">
        <f t="shared" si="5"/>
        <v>10500</v>
      </c>
    </row>
    <row r="192" spans="1:8" x14ac:dyDescent="0.3">
      <c r="A192" s="2" t="str">
        <f t="shared" si="4"/>
        <v>Apr-2023</v>
      </c>
      <c r="B192" s="2">
        <v>45019.5283522338</v>
      </c>
      <c r="C192" s="5" t="s">
        <v>12</v>
      </c>
      <c r="D192" s="3">
        <v>4</v>
      </c>
      <c r="E192" s="4">
        <v>150</v>
      </c>
      <c r="F192" s="5" t="s">
        <v>7</v>
      </c>
      <c r="G192" s="5" t="s">
        <v>169</v>
      </c>
      <c r="H192" s="1">
        <f t="shared" si="5"/>
        <v>600</v>
      </c>
    </row>
    <row r="193" spans="1:8" x14ac:dyDescent="0.3">
      <c r="A193" s="2" t="str">
        <f t="shared" si="4"/>
        <v>Apr-2023</v>
      </c>
      <c r="B193" s="2">
        <v>45020.015343564817</v>
      </c>
      <c r="C193" s="5" t="s">
        <v>36</v>
      </c>
      <c r="D193" s="3">
        <v>5</v>
      </c>
      <c r="E193" s="4">
        <v>1200</v>
      </c>
      <c r="F193" s="5" t="s">
        <v>10</v>
      </c>
      <c r="G193" s="5" t="s">
        <v>20</v>
      </c>
      <c r="H193" s="1">
        <f t="shared" si="5"/>
        <v>6000</v>
      </c>
    </row>
    <row r="194" spans="1:8" x14ac:dyDescent="0.3">
      <c r="A194" s="2" t="str">
        <f t="shared" si="4"/>
        <v>Apr-2023</v>
      </c>
      <c r="B194" s="2">
        <v>45020.502334884259</v>
      </c>
      <c r="C194" s="5" t="s">
        <v>26</v>
      </c>
      <c r="D194" s="3">
        <v>1</v>
      </c>
      <c r="E194" s="4">
        <v>150</v>
      </c>
      <c r="F194" s="5" t="s">
        <v>24</v>
      </c>
      <c r="G194" s="5" t="s">
        <v>170</v>
      </c>
      <c r="H194" s="1">
        <f t="shared" si="5"/>
        <v>150</v>
      </c>
    </row>
    <row r="195" spans="1:8" x14ac:dyDescent="0.3">
      <c r="A195" s="2" t="str">
        <f t="shared" ref="A195:A258" si="6">TEXT(B195, "mmm-yyyy")</f>
        <v>Apr-2023</v>
      </c>
      <c r="B195" s="2">
        <v>45020.989326215276</v>
      </c>
      <c r="C195" s="5" t="s">
        <v>9</v>
      </c>
      <c r="D195" s="3">
        <v>3</v>
      </c>
      <c r="E195" s="4">
        <v>1800</v>
      </c>
      <c r="F195" s="5" t="s">
        <v>13</v>
      </c>
      <c r="G195" s="5" t="s">
        <v>171</v>
      </c>
      <c r="H195" s="1">
        <f t="shared" ref="H195:H258" si="7" xml:space="preserve"> D195 * E195</f>
        <v>5400</v>
      </c>
    </row>
    <row r="196" spans="1:8" x14ac:dyDescent="0.3">
      <c r="A196" s="2" t="str">
        <f t="shared" si="6"/>
        <v>Apr-2023</v>
      </c>
      <c r="B196" s="2">
        <v>45021.476317546294</v>
      </c>
      <c r="C196" s="5" t="s">
        <v>36</v>
      </c>
      <c r="D196" s="3">
        <v>1</v>
      </c>
      <c r="E196" s="4">
        <v>1200</v>
      </c>
      <c r="F196" s="5" t="s">
        <v>13</v>
      </c>
      <c r="G196" s="5" t="s">
        <v>172</v>
      </c>
      <c r="H196" s="1">
        <f t="shared" si="7"/>
        <v>1200</v>
      </c>
    </row>
    <row r="197" spans="1:8" x14ac:dyDescent="0.3">
      <c r="A197" s="2" t="str">
        <f t="shared" si="6"/>
        <v>Apr-2023</v>
      </c>
      <c r="B197" s="2">
        <v>45021.963308877312</v>
      </c>
      <c r="C197" s="5" t="s">
        <v>12</v>
      </c>
      <c r="D197" s="3">
        <v>2</v>
      </c>
      <c r="E197" s="4">
        <v>700</v>
      </c>
      <c r="F197" s="5" t="s">
        <v>7</v>
      </c>
      <c r="G197" s="5" t="s">
        <v>53</v>
      </c>
      <c r="H197" s="1">
        <f t="shared" si="7"/>
        <v>1400</v>
      </c>
    </row>
    <row r="198" spans="1:8" x14ac:dyDescent="0.3">
      <c r="A198" s="2" t="str">
        <f t="shared" si="6"/>
        <v>Apr-2023</v>
      </c>
      <c r="B198" s="2">
        <v>45022.450300196761</v>
      </c>
      <c r="C198" s="5" t="s">
        <v>17</v>
      </c>
      <c r="D198" s="3">
        <v>4</v>
      </c>
      <c r="E198" s="4">
        <v>1800</v>
      </c>
      <c r="F198" s="5" t="s">
        <v>13</v>
      </c>
      <c r="G198" s="5" t="s">
        <v>173</v>
      </c>
      <c r="H198" s="1">
        <f t="shared" si="7"/>
        <v>7200</v>
      </c>
    </row>
    <row r="199" spans="1:8" x14ac:dyDescent="0.3">
      <c r="A199" s="2" t="str">
        <f t="shared" si="6"/>
        <v>Apr-2023</v>
      </c>
      <c r="B199" s="2">
        <v>45022.937291527778</v>
      </c>
      <c r="C199" s="5" t="s">
        <v>6</v>
      </c>
      <c r="D199" s="3">
        <v>2</v>
      </c>
      <c r="E199" s="4">
        <v>1200</v>
      </c>
      <c r="F199" s="5" t="s">
        <v>7</v>
      </c>
      <c r="G199" s="5" t="s">
        <v>21</v>
      </c>
      <c r="H199" s="1">
        <f t="shared" si="7"/>
        <v>2400</v>
      </c>
    </row>
    <row r="200" spans="1:8" x14ac:dyDescent="0.3">
      <c r="A200" s="2" t="str">
        <f t="shared" si="6"/>
        <v>Apr-2023</v>
      </c>
      <c r="B200" s="2">
        <v>45023.424282858796</v>
      </c>
      <c r="C200" s="5" t="s">
        <v>12</v>
      </c>
      <c r="D200" s="3">
        <v>1</v>
      </c>
      <c r="E200" s="4">
        <v>3500</v>
      </c>
      <c r="F200" s="5" t="s">
        <v>7</v>
      </c>
      <c r="G200" s="5" t="s">
        <v>174</v>
      </c>
      <c r="H200" s="1">
        <f t="shared" si="7"/>
        <v>3500</v>
      </c>
    </row>
    <row r="201" spans="1:8" x14ac:dyDescent="0.3">
      <c r="A201" s="2" t="str">
        <f t="shared" si="6"/>
        <v>Apr-2023</v>
      </c>
      <c r="B201" s="2">
        <v>45023.911274178237</v>
      </c>
      <c r="C201" s="5" t="s">
        <v>26</v>
      </c>
      <c r="D201" s="3">
        <v>1</v>
      </c>
      <c r="E201" s="4">
        <v>3500</v>
      </c>
      <c r="F201" s="5" t="s">
        <v>24</v>
      </c>
      <c r="G201" s="5" t="s">
        <v>175</v>
      </c>
      <c r="H201" s="1">
        <f t="shared" si="7"/>
        <v>3500</v>
      </c>
    </row>
    <row r="202" spans="1:8" x14ac:dyDescent="0.3">
      <c r="A202" s="2" t="str">
        <f t="shared" si="6"/>
        <v>Apr-2023</v>
      </c>
      <c r="B202" s="2">
        <v>45024.398265509262</v>
      </c>
      <c r="C202" s="5" t="s">
        <v>36</v>
      </c>
      <c r="D202" s="3">
        <v>5</v>
      </c>
      <c r="E202" s="4">
        <v>3500</v>
      </c>
      <c r="F202" s="5" t="s">
        <v>24</v>
      </c>
      <c r="G202" s="5" t="s">
        <v>176</v>
      </c>
      <c r="H202" s="1">
        <f t="shared" si="7"/>
        <v>17500</v>
      </c>
    </row>
    <row r="203" spans="1:8" x14ac:dyDescent="0.3">
      <c r="A203" s="2" t="str">
        <f t="shared" si="6"/>
        <v>Apr-2023</v>
      </c>
      <c r="B203" s="2">
        <v>45024.88525684028</v>
      </c>
      <c r="C203" s="5" t="s">
        <v>6</v>
      </c>
      <c r="D203" s="3">
        <v>3</v>
      </c>
      <c r="E203" s="4">
        <v>3500</v>
      </c>
      <c r="F203" s="5" t="s">
        <v>10</v>
      </c>
      <c r="G203" s="5" t="s">
        <v>177</v>
      </c>
      <c r="H203" s="1">
        <f t="shared" si="7"/>
        <v>10500</v>
      </c>
    </row>
    <row r="204" spans="1:8" x14ac:dyDescent="0.3">
      <c r="A204" s="2" t="str">
        <f t="shared" si="6"/>
        <v>Apr-2023</v>
      </c>
      <c r="B204" s="2">
        <v>45025.372248159721</v>
      </c>
      <c r="C204" s="5" t="s">
        <v>36</v>
      </c>
      <c r="D204" s="3">
        <v>3</v>
      </c>
      <c r="E204" s="4">
        <v>700</v>
      </c>
      <c r="F204" s="5" t="s">
        <v>24</v>
      </c>
      <c r="G204" s="5" t="s">
        <v>178</v>
      </c>
      <c r="H204" s="1">
        <f t="shared" si="7"/>
        <v>2100</v>
      </c>
    </row>
    <row r="205" spans="1:8" x14ac:dyDescent="0.3">
      <c r="A205" s="2" t="str">
        <f t="shared" si="6"/>
        <v>Apr-2023</v>
      </c>
      <c r="B205" s="2">
        <v>45025.859239490739</v>
      </c>
      <c r="C205" s="5" t="s">
        <v>26</v>
      </c>
      <c r="D205" s="3">
        <v>2</v>
      </c>
      <c r="E205" s="4">
        <v>150</v>
      </c>
      <c r="F205" s="5" t="s">
        <v>24</v>
      </c>
      <c r="G205" s="5" t="s">
        <v>179</v>
      </c>
      <c r="H205" s="1">
        <f t="shared" si="7"/>
        <v>300</v>
      </c>
    </row>
    <row r="206" spans="1:8" x14ac:dyDescent="0.3">
      <c r="A206" s="2" t="str">
        <f t="shared" si="6"/>
        <v>Apr-2023</v>
      </c>
      <c r="B206" s="2">
        <v>45026.346230821757</v>
      </c>
      <c r="C206" s="5" t="s">
        <v>36</v>
      </c>
      <c r="D206" s="3">
        <v>4</v>
      </c>
      <c r="E206" s="4">
        <v>1200</v>
      </c>
      <c r="F206" s="5" t="s">
        <v>7</v>
      </c>
      <c r="G206" s="5" t="s">
        <v>180</v>
      </c>
      <c r="H206" s="1">
        <f t="shared" si="7"/>
        <v>4800</v>
      </c>
    </row>
    <row r="207" spans="1:8" x14ac:dyDescent="0.3">
      <c r="A207" s="2" t="str">
        <f t="shared" si="6"/>
        <v>Apr-2023</v>
      </c>
      <c r="B207" s="2">
        <v>45026.833222152774</v>
      </c>
      <c r="C207" s="5" t="s">
        <v>17</v>
      </c>
      <c r="D207" s="3">
        <v>6</v>
      </c>
      <c r="E207" s="4">
        <v>700</v>
      </c>
      <c r="F207" s="5" t="s">
        <v>24</v>
      </c>
      <c r="G207" s="5" t="s">
        <v>32</v>
      </c>
      <c r="H207" s="1">
        <f t="shared" si="7"/>
        <v>4200</v>
      </c>
    </row>
    <row r="208" spans="1:8" x14ac:dyDescent="0.3">
      <c r="A208" s="2" t="str">
        <f t="shared" si="6"/>
        <v>Apr-2023</v>
      </c>
      <c r="B208" s="2">
        <v>45027.320213472223</v>
      </c>
      <c r="C208" s="5" t="s">
        <v>6</v>
      </c>
      <c r="D208" s="3">
        <v>3</v>
      </c>
      <c r="E208" s="4">
        <v>3500</v>
      </c>
      <c r="F208" s="5" t="s">
        <v>7</v>
      </c>
      <c r="G208" s="5" t="s">
        <v>181</v>
      </c>
      <c r="H208" s="1">
        <f t="shared" si="7"/>
        <v>10500</v>
      </c>
    </row>
    <row r="209" spans="1:8" x14ac:dyDescent="0.3">
      <c r="A209" s="2" t="str">
        <f t="shared" si="6"/>
        <v>Apr-2023</v>
      </c>
      <c r="B209" s="2">
        <v>45027.807204803241</v>
      </c>
      <c r="C209" s="5" t="s">
        <v>6</v>
      </c>
      <c r="D209" s="3">
        <v>5</v>
      </c>
      <c r="E209" s="4">
        <v>150</v>
      </c>
      <c r="F209" s="5" t="s">
        <v>7</v>
      </c>
      <c r="G209" s="5" t="s">
        <v>182</v>
      </c>
      <c r="H209" s="1">
        <f t="shared" si="7"/>
        <v>750</v>
      </c>
    </row>
    <row r="210" spans="1:8" x14ac:dyDescent="0.3">
      <c r="A210" s="2" t="str">
        <f t="shared" si="6"/>
        <v>Apr-2023</v>
      </c>
      <c r="B210" s="2">
        <v>45028.294196134259</v>
      </c>
      <c r="C210" s="5" t="s">
        <v>26</v>
      </c>
      <c r="D210" s="3">
        <v>2</v>
      </c>
      <c r="E210" s="4">
        <v>1800</v>
      </c>
      <c r="F210" s="5" t="s">
        <v>24</v>
      </c>
      <c r="G210" s="5" t="s">
        <v>73</v>
      </c>
      <c r="H210" s="1">
        <f t="shared" si="7"/>
        <v>3600</v>
      </c>
    </row>
    <row r="211" spans="1:8" x14ac:dyDescent="0.3">
      <c r="A211" s="2" t="str">
        <f t="shared" si="6"/>
        <v>Apr-2023</v>
      </c>
      <c r="B211" s="2">
        <v>45028.7811874537</v>
      </c>
      <c r="C211" s="5" t="s">
        <v>17</v>
      </c>
      <c r="D211" s="3">
        <v>2</v>
      </c>
      <c r="E211" s="4">
        <v>1800</v>
      </c>
      <c r="F211" s="5" t="s">
        <v>10</v>
      </c>
      <c r="G211" s="5" t="s">
        <v>183</v>
      </c>
      <c r="H211" s="1">
        <f t="shared" si="7"/>
        <v>3600</v>
      </c>
    </row>
    <row r="212" spans="1:8" x14ac:dyDescent="0.3">
      <c r="A212" s="2" t="str">
        <f t="shared" si="6"/>
        <v>Apr-2023</v>
      </c>
      <c r="B212" s="2">
        <v>45029.268178784725</v>
      </c>
      <c r="C212" s="5" t="s">
        <v>12</v>
      </c>
      <c r="D212" s="3">
        <v>6</v>
      </c>
      <c r="E212" s="4">
        <v>1800</v>
      </c>
      <c r="F212" s="5" t="s">
        <v>10</v>
      </c>
      <c r="G212" s="5" t="s">
        <v>184</v>
      </c>
      <c r="H212" s="1">
        <f t="shared" si="7"/>
        <v>10800</v>
      </c>
    </row>
    <row r="213" spans="1:8" x14ac:dyDescent="0.3">
      <c r="A213" s="2" t="str">
        <f t="shared" si="6"/>
        <v>Apr-2023</v>
      </c>
      <c r="B213" s="2">
        <v>45029.755170115743</v>
      </c>
      <c r="C213" s="5" t="s">
        <v>36</v>
      </c>
      <c r="D213" s="3">
        <v>5</v>
      </c>
      <c r="E213" s="4">
        <v>3500</v>
      </c>
      <c r="F213" s="5" t="s">
        <v>13</v>
      </c>
      <c r="G213" s="5" t="s">
        <v>151</v>
      </c>
      <c r="H213" s="1">
        <f t="shared" si="7"/>
        <v>17500</v>
      </c>
    </row>
    <row r="214" spans="1:8" x14ac:dyDescent="0.3">
      <c r="A214" s="2" t="str">
        <f t="shared" si="6"/>
        <v>Apr-2023</v>
      </c>
      <c r="B214" s="2">
        <v>45030.242161435184</v>
      </c>
      <c r="C214" s="5" t="s">
        <v>9</v>
      </c>
      <c r="D214" s="3">
        <v>4</v>
      </c>
      <c r="E214" s="4">
        <v>1800</v>
      </c>
      <c r="F214" s="5" t="s">
        <v>13</v>
      </c>
      <c r="G214" s="5" t="s">
        <v>185</v>
      </c>
      <c r="H214" s="1">
        <f t="shared" si="7"/>
        <v>7200</v>
      </c>
    </row>
    <row r="215" spans="1:8" x14ac:dyDescent="0.3">
      <c r="A215" s="2" t="str">
        <f t="shared" si="6"/>
        <v>Apr-2023</v>
      </c>
      <c r="B215" s="2">
        <v>45030.729152766202</v>
      </c>
      <c r="C215" s="5" t="s">
        <v>36</v>
      </c>
      <c r="D215" s="3">
        <v>5</v>
      </c>
      <c r="E215" s="4">
        <v>450</v>
      </c>
      <c r="F215" s="5" t="s">
        <v>24</v>
      </c>
      <c r="G215" s="5" t="s">
        <v>186</v>
      </c>
      <c r="H215" s="1">
        <f t="shared" si="7"/>
        <v>2250</v>
      </c>
    </row>
    <row r="216" spans="1:8" x14ac:dyDescent="0.3">
      <c r="A216" s="2" t="str">
        <f t="shared" si="6"/>
        <v>Apr-2023</v>
      </c>
      <c r="B216" s="2">
        <v>45031.21614409722</v>
      </c>
      <c r="C216" s="5" t="s">
        <v>36</v>
      </c>
      <c r="D216" s="3">
        <v>4</v>
      </c>
      <c r="E216" s="4">
        <v>1200</v>
      </c>
      <c r="F216" s="5" t="s">
        <v>10</v>
      </c>
      <c r="G216" s="5" t="s">
        <v>178</v>
      </c>
      <c r="H216" s="1">
        <f t="shared" si="7"/>
        <v>4800</v>
      </c>
    </row>
    <row r="217" spans="1:8" x14ac:dyDescent="0.3">
      <c r="A217" s="2" t="str">
        <f t="shared" si="6"/>
        <v>Apr-2023</v>
      </c>
      <c r="B217" s="2">
        <v>45031.703135428237</v>
      </c>
      <c r="C217" s="5" t="s">
        <v>12</v>
      </c>
      <c r="D217" s="3">
        <v>5</v>
      </c>
      <c r="E217" s="4">
        <v>1200</v>
      </c>
      <c r="F217" s="5" t="s">
        <v>7</v>
      </c>
      <c r="G217" s="5" t="s">
        <v>187</v>
      </c>
      <c r="H217" s="1">
        <f t="shared" si="7"/>
        <v>6000</v>
      </c>
    </row>
    <row r="218" spans="1:8" x14ac:dyDescent="0.3">
      <c r="A218" s="2" t="str">
        <f t="shared" si="6"/>
        <v>Apr-2023</v>
      </c>
      <c r="B218" s="2">
        <v>45032.190126747686</v>
      </c>
      <c r="C218" s="5" t="s">
        <v>36</v>
      </c>
      <c r="D218" s="3">
        <v>5</v>
      </c>
      <c r="E218" s="4">
        <v>3500</v>
      </c>
      <c r="F218" s="5" t="s">
        <v>13</v>
      </c>
      <c r="G218" s="5" t="s">
        <v>188</v>
      </c>
      <c r="H218" s="1">
        <f t="shared" si="7"/>
        <v>17500</v>
      </c>
    </row>
    <row r="219" spans="1:8" x14ac:dyDescent="0.3">
      <c r="A219" s="2" t="str">
        <f t="shared" si="6"/>
        <v>Apr-2023</v>
      </c>
      <c r="B219" s="2">
        <v>45032.677118078704</v>
      </c>
      <c r="C219" s="5" t="s">
        <v>17</v>
      </c>
      <c r="D219" s="3">
        <v>1</v>
      </c>
      <c r="E219" s="4">
        <v>450</v>
      </c>
      <c r="F219" s="5" t="s">
        <v>7</v>
      </c>
      <c r="G219" s="5" t="s">
        <v>189</v>
      </c>
      <c r="H219" s="1">
        <f t="shared" si="7"/>
        <v>450</v>
      </c>
    </row>
    <row r="220" spans="1:8" x14ac:dyDescent="0.3">
      <c r="A220" s="2" t="str">
        <f t="shared" si="6"/>
        <v>Apr-2023</v>
      </c>
      <c r="B220" s="2">
        <v>45033.164109409721</v>
      </c>
      <c r="C220" s="5" t="s">
        <v>17</v>
      </c>
      <c r="D220" s="3">
        <v>2</v>
      </c>
      <c r="E220" s="4">
        <v>700</v>
      </c>
      <c r="F220" s="5" t="s">
        <v>13</v>
      </c>
      <c r="G220" s="5" t="s">
        <v>190</v>
      </c>
      <c r="H220" s="1">
        <f t="shared" si="7"/>
        <v>1400</v>
      </c>
    </row>
    <row r="221" spans="1:8" x14ac:dyDescent="0.3">
      <c r="A221" s="2" t="str">
        <f t="shared" si="6"/>
        <v>Apr-2023</v>
      </c>
      <c r="B221" s="2">
        <v>45033.65110072917</v>
      </c>
      <c r="C221" s="5" t="s">
        <v>6</v>
      </c>
      <c r="D221" s="3">
        <v>5</v>
      </c>
      <c r="E221" s="4">
        <v>700</v>
      </c>
      <c r="F221" s="5" t="s">
        <v>24</v>
      </c>
      <c r="G221" s="5" t="s">
        <v>191</v>
      </c>
      <c r="H221" s="1">
        <f t="shared" si="7"/>
        <v>3500</v>
      </c>
    </row>
    <row r="222" spans="1:8" x14ac:dyDescent="0.3">
      <c r="A222" s="2" t="str">
        <f t="shared" si="6"/>
        <v>Apr-2023</v>
      </c>
      <c r="B222" s="2">
        <v>45034.138092060188</v>
      </c>
      <c r="C222" s="5" t="s">
        <v>26</v>
      </c>
      <c r="D222" s="3">
        <v>6</v>
      </c>
      <c r="E222" s="4">
        <v>1800</v>
      </c>
      <c r="F222" s="5" t="s">
        <v>10</v>
      </c>
      <c r="G222" s="5" t="s">
        <v>69</v>
      </c>
      <c r="H222" s="1">
        <f t="shared" si="7"/>
        <v>10800</v>
      </c>
    </row>
    <row r="223" spans="1:8" x14ac:dyDescent="0.3">
      <c r="A223" s="2" t="str">
        <f t="shared" si="6"/>
        <v>Apr-2023</v>
      </c>
      <c r="B223" s="2">
        <v>45034.625083391205</v>
      </c>
      <c r="C223" s="5" t="s">
        <v>9</v>
      </c>
      <c r="D223" s="3">
        <v>5</v>
      </c>
      <c r="E223" s="4">
        <v>150</v>
      </c>
      <c r="F223" s="5" t="s">
        <v>13</v>
      </c>
      <c r="G223" s="5" t="s">
        <v>104</v>
      </c>
      <c r="H223" s="1">
        <f t="shared" si="7"/>
        <v>750</v>
      </c>
    </row>
    <row r="224" spans="1:8" x14ac:dyDescent="0.3">
      <c r="A224" s="2" t="str">
        <f t="shared" si="6"/>
        <v>Apr-2023</v>
      </c>
      <c r="B224" s="2">
        <v>45035.112074722223</v>
      </c>
      <c r="C224" s="5" t="s">
        <v>36</v>
      </c>
      <c r="D224" s="3">
        <v>3</v>
      </c>
      <c r="E224" s="4">
        <v>700</v>
      </c>
      <c r="F224" s="5" t="s">
        <v>10</v>
      </c>
      <c r="G224" s="5" t="s">
        <v>192</v>
      </c>
      <c r="H224" s="1">
        <f t="shared" si="7"/>
        <v>2100</v>
      </c>
    </row>
    <row r="225" spans="1:8" x14ac:dyDescent="0.3">
      <c r="A225" s="2" t="str">
        <f t="shared" si="6"/>
        <v>Apr-2023</v>
      </c>
      <c r="B225" s="2">
        <v>45035.599066041665</v>
      </c>
      <c r="C225" s="5" t="s">
        <v>36</v>
      </c>
      <c r="D225" s="3">
        <v>2</v>
      </c>
      <c r="E225" s="4">
        <v>150</v>
      </c>
      <c r="F225" s="5" t="s">
        <v>7</v>
      </c>
      <c r="G225" s="5" t="s">
        <v>193</v>
      </c>
      <c r="H225" s="1">
        <f t="shared" si="7"/>
        <v>300</v>
      </c>
    </row>
    <row r="226" spans="1:8" x14ac:dyDescent="0.3">
      <c r="A226" s="2" t="str">
        <f t="shared" si="6"/>
        <v>Apr-2023</v>
      </c>
      <c r="B226" s="2">
        <v>45036.086057372682</v>
      </c>
      <c r="C226" s="5" t="s">
        <v>12</v>
      </c>
      <c r="D226" s="3">
        <v>3</v>
      </c>
      <c r="E226" s="4">
        <v>1200</v>
      </c>
      <c r="F226" s="5" t="s">
        <v>24</v>
      </c>
      <c r="G226" s="5" t="s">
        <v>194</v>
      </c>
      <c r="H226" s="1">
        <f t="shared" si="7"/>
        <v>3600</v>
      </c>
    </row>
    <row r="227" spans="1:8" x14ac:dyDescent="0.3">
      <c r="A227" s="2" t="str">
        <f t="shared" si="6"/>
        <v>Apr-2023</v>
      </c>
      <c r="B227" s="2">
        <v>45036.573048703707</v>
      </c>
      <c r="C227" s="5" t="s">
        <v>26</v>
      </c>
      <c r="D227" s="3">
        <v>2</v>
      </c>
      <c r="E227" s="4">
        <v>150</v>
      </c>
      <c r="F227" s="5" t="s">
        <v>10</v>
      </c>
      <c r="G227" s="5" t="s">
        <v>154</v>
      </c>
      <c r="H227" s="1">
        <f t="shared" si="7"/>
        <v>300</v>
      </c>
    </row>
    <row r="228" spans="1:8" x14ac:dyDescent="0.3">
      <c r="A228" s="2" t="str">
        <f t="shared" si="6"/>
        <v>Apr-2023</v>
      </c>
      <c r="B228" s="2">
        <v>45037.060040023149</v>
      </c>
      <c r="C228" s="5" t="s">
        <v>17</v>
      </c>
      <c r="D228" s="3">
        <v>3</v>
      </c>
      <c r="E228" s="4">
        <v>1200</v>
      </c>
      <c r="F228" s="5" t="s">
        <v>24</v>
      </c>
      <c r="G228" s="5" t="s">
        <v>103</v>
      </c>
      <c r="H228" s="1">
        <f t="shared" si="7"/>
        <v>3600</v>
      </c>
    </row>
    <row r="229" spans="1:8" x14ac:dyDescent="0.3">
      <c r="A229" s="2" t="str">
        <f t="shared" si="6"/>
        <v>Apr-2023</v>
      </c>
      <c r="B229" s="2">
        <v>45037.547031354166</v>
      </c>
      <c r="C229" s="5" t="s">
        <v>9</v>
      </c>
      <c r="D229" s="3">
        <v>5</v>
      </c>
      <c r="E229" s="4">
        <v>450</v>
      </c>
      <c r="F229" s="5" t="s">
        <v>10</v>
      </c>
      <c r="G229" s="5" t="s">
        <v>195</v>
      </c>
      <c r="H229" s="1">
        <f t="shared" si="7"/>
        <v>2250</v>
      </c>
    </row>
    <row r="230" spans="1:8" x14ac:dyDescent="0.3">
      <c r="A230" s="2" t="str">
        <f t="shared" si="6"/>
        <v>Apr-2023</v>
      </c>
      <c r="B230" s="2">
        <v>45038.034022685184</v>
      </c>
      <c r="C230" s="5" t="s">
        <v>6</v>
      </c>
      <c r="D230" s="3">
        <v>5</v>
      </c>
      <c r="E230" s="4">
        <v>450</v>
      </c>
      <c r="F230" s="5" t="s">
        <v>7</v>
      </c>
      <c r="G230" s="5" t="s">
        <v>65</v>
      </c>
      <c r="H230" s="1">
        <f t="shared" si="7"/>
        <v>2250</v>
      </c>
    </row>
    <row r="231" spans="1:8" x14ac:dyDescent="0.3">
      <c r="A231" s="2" t="str">
        <f t="shared" si="6"/>
        <v>Apr-2023</v>
      </c>
      <c r="B231" s="2">
        <v>45038.521014004633</v>
      </c>
      <c r="C231" s="5" t="s">
        <v>17</v>
      </c>
      <c r="D231" s="3">
        <v>1</v>
      </c>
      <c r="E231" s="4">
        <v>3500</v>
      </c>
      <c r="F231" s="5" t="s">
        <v>7</v>
      </c>
      <c r="G231" s="5" t="s">
        <v>196</v>
      </c>
      <c r="H231" s="1">
        <f t="shared" si="7"/>
        <v>3500</v>
      </c>
    </row>
    <row r="232" spans="1:8" x14ac:dyDescent="0.3">
      <c r="A232" s="2" t="str">
        <f t="shared" si="6"/>
        <v>Apr-2023</v>
      </c>
      <c r="B232" s="2">
        <v>45039.008005335651</v>
      </c>
      <c r="C232" s="5" t="s">
        <v>26</v>
      </c>
      <c r="D232" s="3">
        <v>6</v>
      </c>
      <c r="E232" s="4">
        <v>3500</v>
      </c>
      <c r="F232" s="5" t="s">
        <v>24</v>
      </c>
      <c r="G232" s="5" t="s">
        <v>197</v>
      </c>
      <c r="H232" s="1">
        <f t="shared" si="7"/>
        <v>21000</v>
      </c>
    </row>
    <row r="233" spans="1:8" x14ac:dyDescent="0.3">
      <c r="A233" s="2" t="str">
        <f t="shared" si="6"/>
        <v>Apr-2023</v>
      </c>
      <c r="B233" s="2">
        <v>45039.494996666668</v>
      </c>
      <c r="C233" s="5" t="s">
        <v>6</v>
      </c>
      <c r="D233" s="3">
        <v>3</v>
      </c>
      <c r="E233" s="4">
        <v>1800</v>
      </c>
      <c r="F233" s="5" t="s">
        <v>7</v>
      </c>
      <c r="G233" s="5" t="s">
        <v>198</v>
      </c>
      <c r="H233" s="1">
        <f t="shared" si="7"/>
        <v>5400</v>
      </c>
    </row>
    <row r="234" spans="1:8" x14ac:dyDescent="0.3">
      <c r="A234" s="2" t="str">
        <f t="shared" si="6"/>
        <v>Apr-2023</v>
      </c>
      <c r="B234" s="2">
        <v>45039.981987997686</v>
      </c>
      <c r="C234" s="5" t="s">
        <v>12</v>
      </c>
      <c r="D234" s="3">
        <v>4</v>
      </c>
      <c r="E234" s="4">
        <v>700</v>
      </c>
      <c r="F234" s="5" t="s">
        <v>13</v>
      </c>
      <c r="G234" s="5" t="s">
        <v>199</v>
      </c>
      <c r="H234" s="1">
        <f t="shared" si="7"/>
        <v>2800</v>
      </c>
    </row>
    <row r="235" spans="1:8" x14ac:dyDescent="0.3">
      <c r="A235" s="2" t="str">
        <f t="shared" si="6"/>
        <v>Apr-2023</v>
      </c>
      <c r="B235" s="2">
        <v>45040.468979317127</v>
      </c>
      <c r="C235" s="5" t="s">
        <v>12</v>
      </c>
      <c r="D235" s="3">
        <v>1</v>
      </c>
      <c r="E235" s="4">
        <v>1800</v>
      </c>
      <c r="F235" s="5" t="s">
        <v>10</v>
      </c>
      <c r="G235" s="5" t="s">
        <v>69</v>
      </c>
      <c r="H235" s="1">
        <f t="shared" si="7"/>
        <v>1800</v>
      </c>
    </row>
    <row r="236" spans="1:8" x14ac:dyDescent="0.3">
      <c r="A236" s="2" t="str">
        <f t="shared" si="6"/>
        <v>Apr-2023</v>
      </c>
      <c r="B236" s="2">
        <v>45040.955970648145</v>
      </c>
      <c r="C236" s="5" t="s">
        <v>36</v>
      </c>
      <c r="D236" s="3">
        <v>3</v>
      </c>
      <c r="E236" s="4">
        <v>1200</v>
      </c>
      <c r="F236" s="5" t="s">
        <v>7</v>
      </c>
      <c r="G236" s="5" t="s">
        <v>200</v>
      </c>
      <c r="H236" s="1">
        <f t="shared" si="7"/>
        <v>3600</v>
      </c>
    </row>
    <row r="237" spans="1:8" x14ac:dyDescent="0.3">
      <c r="A237" s="2" t="str">
        <f t="shared" si="6"/>
        <v>Apr-2023</v>
      </c>
      <c r="B237" s="2">
        <v>45041.44296197917</v>
      </c>
      <c r="C237" s="5" t="s">
        <v>26</v>
      </c>
      <c r="D237" s="3">
        <v>3</v>
      </c>
      <c r="E237" s="4">
        <v>1800</v>
      </c>
      <c r="F237" s="5" t="s">
        <v>13</v>
      </c>
      <c r="G237" s="5" t="s">
        <v>201</v>
      </c>
      <c r="H237" s="1">
        <f t="shared" si="7"/>
        <v>5400</v>
      </c>
    </row>
    <row r="238" spans="1:8" x14ac:dyDescent="0.3">
      <c r="A238" s="2" t="str">
        <f t="shared" si="6"/>
        <v>Apr-2023</v>
      </c>
      <c r="B238" s="2">
        <v>45041.929953298612</v>
      </c>
      <c r="C238" s="5" t="s">
        <v>9</v>
      </c>
      <c r="D238" s="3">
        <v>1</v>
      </c>
      <c r="E238" s="4">
        <v>150</v>
      </c>
      <c r="F238" s="5" t="s">
        <v>24</v>
      </c>
      <c r="G238" s="5" t="s">
        <v>139</v>
      </c>
      <c r="H238" s="1">
        <f t="shared" si="7"/>
        <v>150</v>
      </c>
    </row>
    <row r="239" spans="1:8" x14ac:dyDescent="0.3">
      <c r="A239" s="2" t="str">
        <f t="shared" si="6"/>
        <v>Apr-2023</v>
      </c>
      <c r="B239" s="2">
        <v>45042.416944629629</v>
      </c>
      <c r="C239" s="5" t="s">
        <v>6</v>
      </c>
      <c r="D239" s="3">
        <v>5</v>
      </c>
      <c r="E239" s="4">
        <v>1200</v>
      </c>
      <c r="F239" s="5" t="s">
        <v>13</v>
      </c>
      <c r="G239" s="5" t="s">
        <v>202</v>
      </c>
      <c r="H239" s="1">
        <f t="shared" si="7"/>
        <v>6000</v>
      </c>
    </row>
    <row r="240" spans="1:8" x14ac:dyDescent="0.3">
      <c r="A240" s="2" t="str">
        <f t="shared" si="6"/>
        <v>Apr-2023</v>
      </c>
      <c r="B240" s="2">
        <v>45042.903935960647</v>
      </c>
      <c r="C240" s="5" t="s">
        <v>17</v>
      </c>
      <c r="D240" s="3">
        <v>3</v>
      </c>
      <c r="E240" s="4">
        <v>3500</v>
      </c>
      <c r="F240" s="5" t="s">
        <v>24</v>
      </c>
      <c r="G240" s="5" t="s">
        <v>203</v>
      </c>
      <c r="H240" s="1">
        <f t="shared" si="7"/>
        <v>10500</v>
      </c>
    </row>
    <row r="241" spans="1:8" x14ac:dyDescent="0.3">
      <c r="A241" s="2" t="str">
        <f t="shared" si="6"/>
        <v>Apr-2023</v>
      </c>
      <c r="B241" s="2">
        <v>45043.390927280096</v>
      </c>
      <c r="C241" s="5" t="s">
        <v>26</v>
      </c>
      <c r="D241" s="3">
        <v>5</v>
      </c>
      <c r="E241" s="4">
        <v>450</v>
      </c>
      <c r="F241" s="5" t="s">
        <v>24</v>
      </c>
      <c r="G241" s="5" t="s">
        <v>204</v>
      </c>
      <c r="H241" s="1">
        <f t="shared" si="7"/>
        <v>2250</v>
      </c>
    </row>
    <row r="242" spans="1:8" x14ac:dyDescent="0.3">
      <c r="A242" s="2" t="str">
        <f t="shared" si="6"/>
        <v>Apr-2023</v>
      </c>
      <c r="B242" s="2">
        <v>45043.877918611113</v>
      </c>
      <c r="C242" s="5" t="s">
        <v>26</v>
      </c>
      <c r="D242" s="3">
        <v>1</v>
      </c>
      <c r="E242" s="4">
        <v>3500</v>
      </c>
      <c r="F242" s="5" t="s">
        <v>10</v>
      </c>
      <c r="G242" s="5" t="s">
        <v>205</v>
      </c>
      <c r="H242" s="1">
        <f t="shared" si="7"/>
        <v>3500</v>
      </c>
    </row>
    <row r="243" spans="1:8" x14ac:dyDescent="0.3">
      <c r="A243" s="2" t="str">
        <f t="shared" si="6"/>
        <v>Apr-2023</v>
      </c>
      <c r="B243" s="2">
        <v>45044.364909942131</v>
      </c>
      <c r="C243" s="5" t="s">
        <v>12</v>
      </c>
      <c r="D243" s="3">
        <v>5</v>
      </c>
      <c r="E243" s="4">
        <v>700</v>
      </c>
      <c r="F243" s="5" t="s">
        <v>10</v>
      </c>
      <c r="G243" s="5" t="s">
        <v>206</v>
      </c>
      <c r="H243" s="1">
        <f t="shared" si="7"/>
        <v>3500</v>
      </c>
    </row>
    <row r="244" spans="1:8" x14ac:dyDescent="0.3">
      <c r="A244" s="2" t="str">
        <f t="shared" si="6"/>
        <v>Apr-2023</v>
      </c>
      <c r="B244" s="2">
        <v>45044.851901273149</v>
      </c>
      <c r="C244" s="5" t="s">
        <v>36</v>
      </c>
      <c r="D244" s="3">
        <v>2</v>
      </c>
      <c r="E244" s="4">
        <v>1200</v>
      </c>
      <c r="F244" s="5" t="s">
        <v>13</v>
      </c>
      <c r="G244" s="5" t="s">
        <v>207</v>
      </c>
      <c r="H244" s="1">
        <f t="shared" si="7"/>
        <v>2400</v>
      </c>
    </row>
    <row r="245" spans="1:8" x14ac:dyDescent="0.3">
      <c r="A245" s="2" t="str">
        <f t="shared" si="6"/>
        <v>Apr-2023</v>
      </c>
      <c r="B245" s="2">
        <v>45045.33889259259</v>
      </c>
      <c r="C245" s="5" t="s">
        <v>36</v>
      </c>
      <c r="D245" s="3">
        <v>4</v>
      </c>
      <c r="E245" s="4">
        <v>1200</v>
      </c>
      <c r="F245" s="5" t="s">
        <v>10</v>
      </c>
      <c r="G245" s="5" t="s">
        <v>208</v>
      </c>
      <c r="H245" s="1">
        <f t="shared" si="7"/>
        <v>4800</v>
      </c>
    </row>
    <row r="246" spans="1:8" x14ac:dyDescent="0.3">
      <c r="A246" s="2" t="str">
        <f t="shared" si="6"/>
        <v>Apr-2023</v>
      </c>
      <c r="B246" s="2">
        <v>45045.825883923608</v>
      </c>
      <c r="C246" s="5" t="s">
        <v>6</v>
      </c>
      <c r="D246" s="3">
        <v>3</v>
      </c>
      <c r="E246" s="4">
        <v>150</v>
      </c>
      <c r="F246" s="5" t="s">
        <v>10</v>
      </c>
      <c r="G246" s="5" t="s">
        <v>115</v>
      </c>
      <c r="H246" s="1">
        <f t="shared" si="7"/>
        <v>450</v>
      </c>
    </row>
    <row r="247" spans="1:8" x14ac:dyDescent="0.3">
      <c r="A247" s="2" t="str">
        <f t="shared" si="6"/>
        <v>Apr-2023</v>
      </c>
      <c r="B247" s="2">
        <v>45046.312875254633</v>
      </c>
      <c r="C247" s="5" t="s">
        <v>12</v>
      </c>
      <c r="D247" s="3">
        <v>6</v>
      </c>
      <c r="E247" s="4">
        <v>700</v>
      </c>
      <c r="F247" s="5" t="s">
        <v>10</v>
      </c>
      <c r="G247" s="5" t="s">
        <v>62</v>
      </c>
      <c r="H247" s="1">
        <f t="shared" si="7"/>
        <v>4200</v>
      </c>
    </row>
    <row r="248" spans="1:8" x14ac:dyDescent="0.3">
      <c r="A248" s="2" t="str">
        <f t="shared" si="6"/>
        <v>Apr-2023</v>
      </c>
      <c r="B248" s="2">
        <v>45046.799866574074</v>
      </c>
      <c r="C248" s="5" t="s">
        <v>26</v>
      </c>
      <c r="D248" s="3">
        <v>4</v>
      </c>
      <c r="E248" s="4">
        <v>450</v>
      </c>
      <c r="F248" s="5" t="s">
        <v>13</v>
      </c>
      <c r="G248" s="5" t="s">
        <v>209</v>
      </c>
      <c r="H248" s="1">
        <f t="shared" si="7"/>
        <v>1800</v>
      </c>
    </row>
    <row r="249" spans="1:8" x14ac:dyDescent="0.3">
      <c r="A249" s="2" t="str">
        <f t="shared" si="6"/>
        <v>May-2023</v>
      </c>
      <c r="B249" s="2">
        <v>45047.286857905092</v>
      </c>
      <c r="C249" s="5" t="s">
        <v>9</v>
      </c>
      <c r="D249" s="3">
        <v>5</v>
      </c>
      <c r="E249" s="4">
        <v>1200</v>
      </c>
      <c r="F249" s="5" t="s">
        <v>7</v>
      </c>
      <c r="G249" s="5" t="s">
        <v>210</v>
      </c>
      <c r="H249" s="1">
        <f t="shared" si="7"/>
        <v>6000</v>
      </c>
    </row>
    <row r="250" spans="1:8" x14ac:dyDescent="0.3">
      <c r="A250" s="2" t="str">
        <f t="shared" si="6"/>
        <v>May-2023</v>
      </c>
      <c r="B250" s="2">
        <v>45047.77384923611</v>
      </c>
      <c r="C250" s="5" t="s">
        <v>12</v>
      </c>
      <c r="D250" s="3">
        <v>3</v>
      </c>
      <c r="E250" s="4">
        <v>1200</v>
      </c>
      <c r="F250" s="5" t="s">
        <v>10</v>
      </c>
      <c r="G250" s="5" t="s">
        <v>211</v>
      </c>
      <c r="H250" s="1">
        <f t="shared" si="7"/>
        <v>3600</v>
      </c>
    </row>
    <row r="251" spans="1:8" x14ac:dyDescent="0.3">
      <c r="A251" s="2" t="str">
        <f t="shared" si="6"/>
        <v>May-2023</v>
      </c>
      <c r="B251" s="2">
        <v>45048.260840555558</v>
      </c>
      <c r="C251" s="5" t="s">
        <v>6</v>
      </c>
      <c r="D251" s="3">
        <v>5</v>
      </c>
      <c r="E251" s="4">
        <v>150</v>
      </c>
      <c r="F251" s="5" t="s">
        <v>10</v>
      </c>
      <c r="G251" s="5" t="s">
        <v>212</v>
      </c>
      <c r="H251" s="1">
        <f t="shared" si="7"/>
        <v>750</v>
      </c>
    </row>
    <row r="252" spans="1:8" x14ac:dyDescent="0.3">
      <c r="A252" s="2" t="str">
        <f t="shared" si="6"/>
        <v>May-2023</v>
      </c>
      <c r="B252" s="2">
        <v>45048.747831886576</v>
      </c>
      <c r="C252" s="5" t="s">
        <v>6</v>
      </c>
      <c r="D252" s="3">
        <v>2</v>
      </c>
      <c r="E252" s="4">
        <v>1800</v>
      </c>
      <c r="F252" s="5" t="s">
        <v>13</v>
      </c>
      <c r="G252" s="5" t="s">
        <v>140</v>
      </c>
      <c r="H252" s="1">
        <f t="shared" si="7"/>
        <v>3600</v>
      </c>
    </row>
    <row r="253" spans="1:8" x14ac:dyDescent="0.3">
      <c r="A253" s="2" t="str">
        <f t="shared" si="6"/>
        <v>May-2023</v>
      </c>
      <c r="B253" s="2">
        <v>45049.234823217594</v>
      </c>
      <c r="C253" s="5" t="s">
        <v>12</v>
      </c>
      <c r="D253" s="3">
        <v>1</v>
      </c>
      <c r="E253" s="4">
        <v>450</v>
      </c>
      <c r="F253" s="5" t="s">
        <v>7</v>
      </c>
      <c r="G253" s="5" t="s">
        <v>57</v>
      </c>
      <c r="H253" s="1">
        <f t="shared" si="7"/>
        <v>450</v>
      </c>
    </row>
    <row r="254" spans="1:8" x14ac:dyDescent="0.3">
      <c r="A254" s="2" t="str">
        <f t="shared" si="6"/>
        <v>May-2023</v>
      </c>
      <c r="B254" s="2">
        <v>45049.721814548611</v>
      </c>
      <c r="C254" s="5" t="s">
        <v>6</v>
      </c>
      <c r="D254" s="3">
        <v>3</v>
      </c>
      <c r="E254" s="4">
        <v>3500</v>
      </c>
      <c r="F254" s="5" t="s">
        <v>10</v>
      </c>
      <c r="G254" s="5" t="s">
        <v>125</v>
      </c>
      <c r="H254" s="1">
        <f t="shared" si="7"/>
        <v>10500</v>
      </c>
    </row>
    <row r="255" spans="1:8" x14ac:dyDescent="0.3">
      <c r="A255" s="2" t="str">
        <f t="shared" si="6"/>
        <v>May-2023</v>
      </c>
      <c r="B255" s="2">
        <v>45050.208805868053</v>
      </c>
      <c r="C255" s="5" t="s">
        <v>12</v>
      </c>
      <c r="D255" s="3">
        <v>2</v>
      </c>
      <c r="E255" s="4">
        <v>700</v>
      </c>
      <c r="F255" s="5" t="s">
        <v>24</v>
      </c>
      <c r="G255" s="5" t="s">
        <v>213</v>
      </c>
      <c r="H255" s="1">
        <f t="shared" si="7"/>
        <v>1400</v>
      </c>
    </row>
    <row r="256" spans="1:8" x14ac:dyDescent="0.3">
      <c r="A256" s="2" t="str">
        <f t="shared" si="6"/>
        <v>May-2023</v>
      </c>
      <c r="B256" s="2">
        <v>45050.695797199071</v>
      </c>
      <c r="C256" s="5" t="s">
        <v>17</v>
      </c>
      <c r="D256" s="3">
        <v>2</v>
      </c>
      <c r="E256" s="4">
        <v>1200</v>
      </c>
      <c r="F256" s="5" t="s">
        <v>13</v>
      </c>
      <c r="G256" s="5" t="s">
        <v>34</v>
      </c>
      <c r="H256" s="1">
        <f t="shared" si="7"/>
        <v>2400</v>
      </c>
    </row>
    <row r="257" spans="1:8" x14ac:dyDescent="0.3">
      <c r="A257" s="2" t="str">
        <f t="shared" si="6"/>
        <v>May-2023</v>
      </c>
      <c r="B257" s="2">
        <v>45051.182788530095</v>
      </c>
      <c r="C257" s="5" t="s">
        <v>12</v>
      </c>
      <c r="D257" s="3">
        <v>3</v>
      </c>
      <c r="E257" s="4">
        <v>1200</v>
      </c>
      <c r="F257" s="5" t="s">
        <v>10</v>
      </c>
      <c r="G257" s="5" t="s">
        <v>183</v>
      </c>
      <c r="H257" s="1">
        <f t="shared" si="7"/>
        <v>3600</v>
      </c>
    </row>
    <row r="258" spans="1:8" x14ac:dyDescent="0.3">
      <c r="A258" s="2" t="str">
        <f t="shared" si="6"/>
        <v>May-2023</v>
      </c>
      <c r="B258" s="2">
        <v>45051.669779849537</v>
      </c>
      <c r="C258" s="5" t="s">
        <v>12</v>
      </c>
      <c r="D258" s="3">
        <v>5</v>
      </c>
      <c r="E258" s="4">
        <v>3500</v>
      </c>
      <c r="F258" s="5" t="s">
        <v>10</v>
      </c>
      <c r="G258" s="5" t="s">
        <v>171</v>
      </c>
      <c r="H258" s="1">
        <f t="shared" si="7"/>
        <v>17500</v>
      </c>
    </row>
    <row r="259" spans="1:8" x14ac:dyDescent="0.3">
      <c r="A259" s="2" t="str">
        <f t="shared" ref="A259:A322" si="8">TEXT(B259, "mmm-yyyy")</f>
        <v>May-2023</v>
      </c>
      <c r="B259" s="2">
        <v>45052.156771180555</v>
      </c>
      <c r="C259" s="5" t="s">
        <v>6</v>
      </c>
      <c r="D259" s="3">
        <v>6</v>
      </c>
      <c r="E259" s="4">
        <v>450</v>
      </c>
      <c r="F259" s="5" t="s">
        <v>24</v>
      </c>
      <c r="G259" s="5" t="s">
        <v>192</v>
      </c>
      <c r="H259" s="1">
        <f t="shared" ref="H259:H322" si="9" xml:space="preserve"> D259 * E259</f>
        <v>2700</v>
      </c>
    </row>
    <row r="260" spans="1:8" x14ac:dyDescent="0.3">
      <c r="A260" s="2" t="str">
        <f t="shared" si="8"/>
        <v>May-2023</v>
      </c>
      <c r="B260" s="2">
        <v>45052.643762511572</v>
      </c>
      <c r="C260" s="5" t="s">
        <v>6</v>
      </c>
      <c r="D260" s="3">
        <v>2</v>
      </c>
      <c r="E260" s="4">
        <v>1800</v>
      </c>
      <c r="F260" s="5" t="s">
        <v>24</v>
      </c>
      <c r="G260" s="5" t="s">
        <v>214</v>
      </c>
      <c r="H260" s="1">
        <f t="shared" si="9"/>
        <v>3600</v>
      </c>
    </row>
    <row r="261" spans="1:8" x14ac:dyDescent="0.3">
      <c r="A261" s="2" t="str">
        <f t="shared" si="8"/>
        <v>May-2023</v>
      </c>
      <c r="B261" s="2">
        <v>45053.130753831021</v>
      </c>
      <c r="C261" s="5" t="s">
        <v>36</v>
      </c>
      <c r="D261" s="3">
        <v>4</v>
      </c>
      <c r="E261" s="4">
        <v>1200</v>
      </c>
      <c r="F261" s="5" t="s">
        <v>13</v>
      </c>
      <c r="G261" s="5" t="s">
        <v>215</v>
      </c>
      <c r="H261" s="1">
        <f t="shared" si="9"/>
        <v>4800</v>
      </c>
    </row>
    <row r="262" spans="1:8" x14ac:dyDescent="0.3">
      <c r="A262" s="2" t="str">
        <f t="shared" si="8"/>
        <v>May-2023</v>
      </c>
      <c r="B262" s="2">
        <v>45053.617745162039</v>
      </c>
      <c r="C262" s="5" t="s">
        <v>36</v>
      </c>
      <c r="D262" s="3">
        <v>2</v>
      </c>
      <c r="E262" s="4">
        <v>450</v>
      </c>
      <c r="F262" s="5" t="s">
        <v>13</v>
      </c>
      <c r="G262" s="5" t="s">
        <v>216</v>
      </c>
      <c r="H262" s="1">
        <f t="shared" si="9"/>
        <v>900</v>
      </c>
    </row>
    <row r="263" spans="1:8" x14ac:dyDescent="0.3">
      <c r="A263" s="2" t="str">
        <f t="shared" si="8"/>
        <v>May-2023</v>
      </c>
      <c r="B263" s="2">
        <v>45054.104736493056</v>
      </c>
      <c r="C263" s="5" t="s">
        <v>17</v>
      </c>
      <c r="D263" s="3">
        <v>6</v>
      </c>
      <c r="E263" s="4">
        <v>3500</v>
      </c>
      <c r="F263" s="5" t="s">
        <v>24</v>
      </c>
      <c r="G263" s="5" t="s">
        <v>217</v>
      </c>
      <c r="H263" s="1">
        <f t="shared" si="9"/>
        <v>21000</v>
      </c>
    </row>
    <row r="264" spans="1:8" x14ac:dyDescent="0.3">
      <c r="A264" s="2" t="str">
        <f t="shared" si="8"/>
        <v>May-2023</v>
      </c>
      <c r="B264" s="2">
        <v>45054.591727824074</v>
      </c>
      <c r="C264" s="5" t="s">
        <v>36</v>
      </c>
      <c r="D264" s="3">
        <v>5</v>
      </c>
      <c r="E264" s="4">
        <v>150</v>
      </c>
      <c r="F264" s="5" t="s">
        <v>13</v>
      </c>
      <c r="G264" s="5" t="s">
        <v>72</v>
      </c>
      <c r="H264" s="1">
        <f t="shared" si="9"/>
        <v>750</v>
      </c>
    </row>
    <row r="265" spans="1:8" x14ac:dyDescent="0.3">
      <c r="A265" s="2" t="str">
        <f t="shared" si="8"/>
        <v>May-2023</v>
      </c>
      <c r="B265" s="2">
        <v>45055.078719143516</v>
      </c>
      <c r="C265" s="5" t="s">
        <v>12</v>
      </c>
      <c r="D265" s="3">
        <v>5</v>
      </c>
      <c r="E265" s="4">
        <v>1800</v>
      </c>
      <c r="F265" s="5" t="s">
        <v>24</v>
      </c>
      <c r="G265" s="5" t="s">
        <v>44</v>
      </c>
      <c r="H265" s="1">
        <f t="shared" si="9"/>
        <v>9000</v>
      </c>
    </row>
    <row r="266" spans="1:8" x14ac:dyDescent="0.3">
      <c r="A266" s="2" t="str">
        <f t="shared" si="8"/>
        <v>May-2023</v>
      </c>
      <c r="B266" s="2">
        <v>45055.565710474541</v>
      </c>
      <c r="C266" s="5" t="s">
        <v>6</v>
      </c>
      <c r="D266" s="3">
        <v>4</v>
      </c>
      <c r="E266" s="4">
        <v>700</v>
      </c>
      <c r="F266" s="5" t="s">
        <v>10</v>
      </c>
      <c r="G266" s="5" t="s">
        <v>218</v>
      </c>
      <c r="H266" s="1">
        <f t="shared" si="9"/>
        <v>2800</v>
      </c>
    </row>
    <row r="267" spans="1:8" x14ac:dyDescent="0.3">
      <c r="A267" s="2" t="str">
        <f t="shared" si="8"/>
        <v>May-2023</v>
      </c>
      <c r="B267" s="2">
        <v>45056.052701805558</v>
      </c>
      <c r="C267" s="5" t="s">
        <v>36</v>
      </c>
      <c r="D267" s="3">
        <v>2</v>
      </c>
      <c r="E267" s="4">
        <v>1200</v>
      </c>
      <c r="F267" s="5" t="s">
        <v>24</v>
      </c>
      <c r="G267" s="5" t="s">
        <v>219</v>
      </c>
      <c r="H267" s="1">
        <f t="shared" si="9"/>
        <v>2400</v>
      </c>
    </row>
    <row r="268" spans="1:8" x14ac:dyDescent="0.3">
      <c r="A268" s="2" t="str">
        <f t="shared" si="8"/>
        <v>May-2023</v>
      </c>
      <c r="B268" s="2">
        <v>45056.539693125</v>
      </c>
      <c r="C268" s="5" t="s">
        <v>36</v>
      </c>
      <c r="D268" s="3">
        <v>5</v>
      </c>
      <c r="E268" s="4">
        <v>450</v>
      </c>
      <c r="F268" s="5" t="s">
        <v>24</v>
      </c>
      <c r="G268" s="5" t="s">
        <v>220</v>
      </c>
      <c r="H268" s="1">
        <f t="shared" si="9"/>
        <v>2250</v>
      </c>
    </row>
    <row r="269" spans="1:8" x14ac:dyDescent="0.3">
      <c r="A269" s="2" t="str">
        <f t="shared" si="8"/>
        <v>May-2023</v>
      </c>
      <c r="B269" s="2">
        <v>45057.026684456017</v>
      </c>
      <c r="C269" s="5" t="s">
        <v>17</v>
      </c>
      <c r="D269" s="3">
        <v>6</v>
      </c>
      <c r="E269" s="4">
        <v>150</v>
      </c>
      <c r="F269" s="5" t="s">
        <v>7</v>
      </c>
      <c r="G269" s="5" t="s">
        <v>221</v>
      </c>
      <c r="H269" s="1">
        <f t="shared" si="9"/>
        <v>900</v>
      </c>
    </row>
    <row r="270" spans="1:8" x14ac:dyDescent="0.3">
      <c r="A270" s="2" t="str">
        <f t="shared" si="8"/>
        <v>May-2023</v>
      </c>
      <c r="B270" s="2">
        <v>45057.513675787035</v>
      </c>
      <c r="C270" s="5" t="s">
        <v>26</v>
      </c>
      <c r="D270" s="3">
        <v>3</v>
      </c>
      <c r="E270" s="4">
        <v>700</v>
      </c>
      <c r="F270" s="5" t="s">
        <v>24</v>
      </c>
      <c r="G270" s="5" t="s">
        <v>193</v>
      </c>
      <c r="H270" s="1">
        <f t="shared" si="9"/>
        <v>2100</v>
      </c>
    </row>
    <row r="271" spans="1:8" x14ac:dyDescent="0.3">
      <c r="A271" s="2" t="str">
        <f t="shared" si="8"/>
        <v>May-2023</v>
      </c>
      <c r="B271" s="2">
        <v>45058.000667106484</v>
      </c>
      <c r="C271" s="5" t="s">
        <v>17</v>
      </c>
      <c r="D271" s="3">
        <v>1</v>
      </c>
      <c r="E271" s="4">
        <v>450</v>
      </c>
      <c r="F271" s="5" t="s">
        <v>24</v>
      </c>
      <c r="G271" s="5" t="s">
        <v>37</v>
      </c>
      <c r="H271" s="1">
        <f t="shared" si="9"/>
        <v>450</v>
      </c>
    </row>
    <row r="272" spans="1:8" x14ac:dyDescent="0.3">
      <c r="A272" s="2" t="str">
        <f t="shared" si="8"/>
        <v>May-2023</v>
      </c>
      <c r="B272" s="2">
        <v>45058.487658437502</v>
      </c>
      <c r="C272" s="5" t="s">
        <v>12</v>
      </c>
      <c r="D272" s="3">
        <v>1</v>
      </c>
      <c r="E272" s="4">
        <v>450</v>
      </c>
      <c r="F272" s="5" t="s">
        <v>7</v>
      </c>
      <c r="G272" s="5" t="s">
        <v>222</v>
      </c>
      <c r="H272" s="1">
        <f t="shared" si="9"/>
        <v>450</v>
      </c>
    </row>
    <row r="273" spans="1:8" x14ac:dyDescent="0.3">
      <c r="A273" s="2" t="str">
        <f t="shared" si="8"/>
        <v>May-2023</v>
      </c>
      <c r="B273" s="2">
        <v>45058.974649768519</v>
      </c>
      <c r="C273" s="5" t="s">
        <v>6</v>
      </c>
      <c r="D273" s="3">
        <v>1</v>
      </c>
      <c r="E273" s="4">
        <v>700</v>
      </c>
      <c r="F273" s="5" t="s">
        <v>13</v>
      </c>
      <c r="G273" s="5" t="s">
        <v>187</v>
      </c>
      <c r="H273" s="1">
        <f t="shared" si="9"/>
        <v>700</v>
      </c>
    </row>
    <row r="274" spans="1:8" x14ac:dyDescent="0.3">
      <c r="A274" s="2" t="str">
        <f t="shared" si="8"/>
        <v>May-2023</v>
      </c>
      <c r="B274" s="2">
        <v>45059.461641099537</v>
      </c>
      <c r="C274" s="5" t="s">
        <v>17</v>
      </c>
      <c r="D274" s="3">
        <v>2</v>
      </c>
      <c r="E274" s="4">
        <v>150</v>
      </c>
      <c r="F274" s="5" t="s">
        <v>7</v>
      </c>
      <c r="G274" s="5" t="s">
        <v>222</v>
      </c>
      <c r="H274" s="1">
        <f t="shared" si="9"/>
        <v>300</v>
      </c>
    </row>
    <row r="275" spans="1:8" x14ac:dyDescent="0.3">
      <c r="A275" s="2" t="str">
        <f t="shared" si="8"/>
        <v>May-2023</v>
      </c>
      <c r="B275" s="2">
        <v>45059.948632418978</v>
      </c>
      <c r="C275" s="5" t="s">
        <v>36</v>
      </c>
      <c r="D275" s="3">
        <v>4</v>
      </c>
      <c r="E275" s="4">
        <v>3500</v>
      </c>
      <c r="F275" s="5" t="s">
        <v>10</v>
      </c>
      <c r="G275" s="5" t="s">
        <v>223</v>
      </c>
      <c r="H275" s="1">
        <f t="shared" si="9"/>
        <v>14000</v>
      </c>
    </row>
    <row r="276" spans="1:8" x14ac:dyDescent="0.3">
      <c r="A276" s="2" t="str">
        <f t="shared" si="8"/>
        <v>May-2023</v>
      </c>
      <c r="B276" s="2">
        <v>45060.435623750003</v>
      </c>
      <c r="C276" s="5" t="s">
        <v>6</v>
      </c>
      <c r="D276" s="3">
        <v>5</v>
      </c>
      <c r="E276" s="4">
        <v>150</v>
      </c>
      <c r="F276" s="5" t="s">
        <v>7</v>
      </c>
      <c r="G276" s="5" t="s">
        <v>56</v>
      </c>
      <c r="H276" s="1">
        <f t="shared" si="9"/>
        <v>750</v>
      </c>
    </row>
    <row r="277" spans="1:8" x14ac:dyDescent="0.3">
      <c r="A277" s="2" t="str">
        <f t="shared" si="8"/>
        <v>May-2023</v>
      </c>
      <c r="B277" s="2">
        <v>45060.922615081021</v>
      </c>
      <c r="C277" s="5" t="s">
        <v>6</v>
      </c>
      <c r="D277" s="3">
        <v>3</v>
      </c>
      <c r="E277" s="4">
        <v>1800</v>
      </c>
      <c r="F277" s="5" t="s">
        <v>10</v>
      </c>
      <c r="G277" s="5" t="s">
        <v>224</v>
      </c>
      <c r="H277" s="1">
        <f t="shared" si="9"/>
        <v>5400</v>
      </c>
    </row>
    <row r="278" spans="1:8" x14ac:dyDescent="0.3">
      <c r="A278" s="2" t="str">
        <f t="shared" si="8"/>
        <v>May-2023</v>
      </c>
      <c r="B278" s="2">
        <v>45061.409606400463</v>
      </c>
      <c r="C278" s="5" t="s">
        <v>36</v>
      </c>
      <c r="D278" s="3">
        <v>6</v>
      </c>
      <c r="E278" s="4">
        <v>1200</v>
      </c>
      <c r="F278" s="5" t="s">
        <v>13</v>
      </c>
      <c r="G278" s="5" t="s">
        <v>69</v>
      </c>
      <c r="H278" s="1">
        <f t="shared" si="9"/>
        <v>7200</v>
      </c>
    </row>
    <row r="279" spans="1:8" x14ac:dyDescent="0.3">
      <c r="A279" s="2" t="str">
        <f t="shared" si="8"/>
        <v>May-2023</v>
      </c>
      <c r="B279" s="2">
        <v>45061.89659773148</v>
      </c>
      <c r="C279" s="5" t="s">
        <v>17</v>
      </c>
      <c r="D279" s="3">
        <v>3</v>
      </c>
      <c r="E279" s="4">
        <v>700</v>
      </c>
      <c r="F279" s="5" t="s">
        <v>7</v>
      </c>
      <c r="G279" s="5" t="s">
        <v>225</v>
      </c>
      <c r="H279" s="1">
        <f t="shared" si="9"/>
        <v>2100</v>
      </c>
    </row>
    <row r="280" spans="1:8" x14ac:dyDescent="0.3">
      <c r="A280" s="2" t="str">
        <f t="shared" si="8"/>
        <v>May-2023</v>
      </c>
      <c r="B280" s="2">
        <v>45062.383589062498</v>
      </c>
      <c r="C280" s="5" t="s">
        <v>36</v>
      </c>
      <c r="D280" s="3">
        <v>6</v>
      </c>
      <c r="E280" s="4">
        <v>3500</v>
      </c>
      <c r="F280" s="5" t="s">
        <v>7</v>
      </c>
      <c r="G280" s="5" t="s">
        <v>226</v>
      </c>
      <c r="H280" s="1">
        <f t="shared" si="9"/>
        <v>21000</v>
      </c>
    </row>
    <row r="281" spans="1:8" x14ac:dyDescent="0.3">
      <c r="A281" s="2" t="str">
        <f t="shared" si="8"/>
        <v>May-2023</v>
      </c>
      <c r="B281" s="2">
        <v>45062.870580381947</v>
      </c>
      <c r="C281" s="5" t="s">
        <v>26</v>
      </c>
      <c r="D281" s="3">
        <v>2</v>
      </c>
      <c r="E281" s="4">
        <v>700</v>
      </c>
      <c r="F281" s="5" t="s">
        <v>13</v>
      </c>
      <c r="G281" s="5" t="s">
        <v>227</v>
      </c>
      <c r="H281" s="1">
        <f t="shared" si="9"/>
        <v>1400</v>
      </c>
    </row>
    <row r="282" spans="1:8" x14ac:dyDescent="0.3">
      <c r="A282" s="2" t="str">
        <f t="shared" si="8"/>
        <v>May-2023</v>
      </c>
      <c r="B282" s="2">
        <v>45063.357571712964</v>
      </c>
      <c r="C282" s="5" t="s">
        <v>6</v>
      </c>
      <c r="D282" s="3">
        <v>1</v>
      </c>
      <c r="E282" s="4">
        <v>700</v>
      </c>
      <c r="F282" s="5" t="s">
        <v>10</v>
      </c>
      <c r="G282" s="5" t="s">
        <v>72</v>
      </c>
      <c r="H282" s="1">
        <f t="shared" si="9"/>
        <v>700</v>
      </c>
    </row>
    <row r="283" spans="1:8" x14ac:dyDescent="0.3">
      <c r="A283" s="2" t="str">
        <f t="shared" si="8"/>
        <v>May-2023</v>
      </c>
      <c r="B283" s="2">
        <v>45063.844563043982</v>
      </c>
      <c r="C283" s="5" t="s">
        <v>9</v>
      </c>
      <c r="D283" s="3">
        <v>2</v>
      </c>
      <c r="E283" s="4">
        <v>150</v>
      </c>
      <c r="F283" s="5" t="s">
        <v>7</v>
      </c>
      <c r="G283" s="5" t="s">
        <v>16</v>
      </c>
      <c r="H283" s="1">
        <f t="shared" si="9"/>
        <v>300</v>
      </c>
    </row>
    <row r="284" spans="1:8" x14ac:dyDescent="0.3">
      <c r="A284" s="2" t="str">
        <f t="shared" si="8"/>
        <v>May-2023</v>
      </c>
      <c r="B284" s="2">
        <v>45064.331554375</v>
      </c>
      <c r="C284" s="5" t="s">
        <v>9</v>
      </c>
      <c r="D284" s="3">
        <v>4</v>
      </c>
      <c r="E284" s="4">
        <v>1200</v>
      </c>
      <c r="F284" s="5" t="s">
        <v>10</v>
      </c>
      <c r="G284" s="5" t="s">
        <v>51</v>
      </c>
      <c r="H284" s="1">
        <f t="shared" si="9"/>
        <v>4800</v>
      </c>
    </row>
    <row r="285" spans="1:8" x14ac:dyDescent="0.3">
      <c r="A285" s="2" t="str">
        <f t="shared" si="8"/>
        <v>May-2023</v>
      </c>
      <c r="B285" s="2">
        <v>45064.818545694441</v>
      </c>
      <c r="C285" s="5" t="s">
        <v>12</v>
      </c>
      <c r="D285" s="3">
        <v>4</v>
      </c>
      <c r="E285" s="4">
        <v>1800</v>
      </c>
      <c r="F285" s="5" t="s">
        <v>7</v>
      </c>
      <c r="G285" s="5" t="s">
        <v>228</v>
      </c>
      <c r="H285" s="1">
        <f t="shared" si="9"/>
        <v>7200</v>
      </c>
    </row>
    <row r="286" spans="1:8" x14ac:dyDescent="0.3">
      <c r="A286" s="2" t="str">
        <f t="shared" si="8"/>
        <v>May-2023</v>
      </c>
      <c r="B286" s="2">
        <v>45065.305537025466</v>
      </c>
      <c r="C286" s="5" t="s">
        <v>36</v>
      </c>
      <c r="D286" s="3">
        <v>6</v>
      </c>
      <c r="E286" s="4">
        <v>450</v>
      </c>
      <c r="F286" s="5" t="s">
        <v>24</v>
      </c>
      <c r="G286" s="5" t="s">
        <v>155</v>
      </c>
      <c r="H286" s="1">
        <f t="shared" si="9"/>
        <v>2700</v>
      </c>
    </row>
    <row r="287" spans="1:8" x14ac:dyDescent="0.3">
      <c r="A287" s="2" t="str">
        <f t="shared" si="8"/>
        <v>May-2023</v>
      </c>
      <c r="B287" s="2">
        <v>45065.792528356484</v>
      </c>
      <c r="C287" s="5" t="s">
        <v>36</v>
      </c>
      <c r="D287" s="3">
        <v>5</v>
      </c>
      <c r="E287" s="4">
        <v>450</v>
      </c>
      <c r="F287" s="5" t="s">
        <v>7</v>
      </c>
      <c r="G287" s="5" t="s">
        <v>186</v>
      </c>
      <c r="H287" s="1">
        <f t="shared" si="9"/>
        <v>2250</v>
      </c>
    </row>
    <row r="288" spans="1:8" x14ac:dyDescent="0.3">
      <c r="A288" s="2" t="str">
        <f t="shared" si="8"/>
        <v>May-2023</v>
      </c>
      <c r="B288" s="2">
        <v>45066.279519675925</v>
      </c>
      <c r="C288" s="5" t="s">
        <v>12</v>
      </c>
      <c r="D288" s="3">
        <v>5</v>
      </c>
      <c r="E288" s="4">
        <v>700</v>
      </c>
      <c r="F288" s="5" t="s">
        <v>13</v>
      </c>
      <c r="G288" s="5" t="s">
        <v>229</v>
      </c>
      <c r="H288" s="1">
        <f t="shared" si="9"/>
        <v>3500</v>
      </c>
    </row>
    <row r="289" spans="1:8" x14ac:dyDescent="0.3">
      <c r="A289" s="2" t="str">
        <f t="shared" si="8"/>
        <v>May-2023</v>
      </c>
      <c r="B289" s="2">
        <v>45066.766511006943</v>
      </c>
      <c r="C289" s="5" t="s">
        <v>12</v>
      </c>
      <c r="D289" s="3">
        <v>6</v>
      </c>
      <c r="E289" s="4">
        <v>1200</v>
      </c>
      <c r="F289" s="5" t="s">
        <v>13</v>
      </c>
      <c r="G289" s="5" t="s">
        <v>112</v>
      </c>
      <c r="H289" s="1">
        <f t="shared" si="9"/>
        <v>7200</v>
      </c>
    </row>
    <row r="290" spans="1:8" x14ac:dyDescent="0.3">
      <c r="A290" s="2" t="str">
        <f t="shared" si="8"/>
        <v>May-2023</v>
      </c>
      <c r="B290" s="2">
        <v>45067.253502337961</v>
      </c>
      <c r="C290" s="5" t="s">
        <v>12</v>
      </c>
      <c r="D290" s="3">
        <v>4</v>
      </c>
      <c r="E290" s="4">
        <v>3500</v>
      </c>
      <c r="F290" s="5" t="s">
        <v>10</v>
      </c>
      <c r="G290" s="5" t="s">
        <v>230</v>
      </c>
      <c r="H290" s="1">
        <f t="shared" si="9"/>
        <v>14000</v>
      </c>
    </row>
    <row r="291" spans="1:8" x14ac:dyDescent="0.3">
      <c r="A291" s="2" t="str">
        <f t="shared" si="8"/>
        <v>May-2023</v>
      </c>
      <c r="B291" s="2">
        <v>45067.740493657409</v>
      </c>
      <c r="C291" s="5" t="s">
        <v>6</v>
      </c>
      <c r="D291" s="3">
        <v>4</v>
      </c>
      <c r="E291" s="4">
        <v>150</v>
      </c>
      <c r="F291" s="5" t="s">
        <v>7</v>
      </c>
      <c r="G291" s="5" t="s">
        <v>231</v>
      </c>
      <c r="H291" s="1">
        <f t="shared" si="9"/>
        <v>600</v>
      </c>
    </row>
    <row r="292" spans="1:8" x14ac:dyDescent="0.3">
      <c r="A292" s="2" t="str">
        <f t="shared" si="8"/>
        <v>May-2023</v>
      </c>
      <c r="B292" s="2">
        <v>45068.227484988427</v>
      </c>
      <c r="C292" s="5" t="s">
        <v>26</v>
      </c>
      <c r="D292" s="3">
        <v>4</v>
      </c>
      <c r="E292" s="4">
        <v>1200</v>
      </c>
      <c r="F292" s="5" t="s">
        <v>10</v>
      </c>
      <c r="G292" s="5" t="s">
        <v>14</v>
      </c>
      <c r="H292" s="1">
        <f t="shared" si="9"/>
        <v>4800</v>
      </c>
    </row>
    <row r="293" spans="1:8" x14ac:dyDescent="0.3">
      <c r="A293" s="2" t="str">
        <f t="shared" si="8"/>
        <v>May-2023</v>
      </c>
      <c r="B293" s="2">
        <v>45068.714476319445</v>
      </c>
      <c r="C293" s="5" t="s">
        <v>36</v>
      </c>
      <c r="D293" s="3">
        <v>2</v>
      </c>
      <c r="E293" s="4">
        <v>1200</v>
      </c>
      <c r="F293" s="5" t="s">
        <v>10</v>
      </c>
      <c r="G293" s="5" t="s">
        <v>232</v>
      </c>
      <c r="H293" s="1">
        <f t="shared" si="9"/>
        <v>2400</v>
      </c>
    </row>
    <row r="294" spans="1:8" x14ac:dyDescent="0.3">
      <c r="A294" s="2" t="str">
        <f t="shared" si="8"/>
        <v>May-2023</v>
      </c>
      <c r="B294" s="2">
        <v>45069.201467650462</v>
      </c>
      <c r="C294" s="5" t="s">
        <v>6</v>
      </c>
      <c r="D294" s="3">
        <v>4</v>
      </c>
      <c r="E294" s="4">
        <v>150</v>
      </c>
      <c r="F294" s="5" t="s">
        <v>24</v>
      </c>
      <c r="G294" s="5" t="s">
        <v>233</v>
      </c>
      <c r="H294" s="1">
        <f t="shared" si="9"/>
        <v>600</v>
      </c>
    </row>
    <row r="295" spans="1:8" x14ac:dyDescent="0.3">
      <c r="A295" s="2" t="str">
        <f t="shared" si="8"/>
        <v>May-2023</v>
      </c>
      <c r="B295" s="2">
        <v>45069.688458969904</v>
      </c>
      <c r="C295" s="5" t="s">
        <v>12</v>
      </c>
      <c r="D295" s="3">
        <v>3</v>
      </c>
      <c r="E295" s="4">
        <v>700</v>
      </c>
      <c r="F295" s="5" t="s">
        <v>24</v>
      </c>
      <c r="G295" s="5" t="s">
        <v>185</v>
      </c>
      <c r="H295" s="1">
        <f t="shared" si="9"/>
        <v>2100</v>
      </c>
    </row>
    <row r="296" spans="1:8" x14ac:dyDescent="0.3">
      <c r="A296" s="2" t="str">
        <f t="shared" si="8"/>
        <v>May-2023</v>
      </c>
      <c r="B296" s="2">
        <v>45070.175450300929</v>
      </c>
      <c r="C296" s="5" t="s">
        <v>36</v>
      </c>
      <c r="D296" s="3">
        <v>1</v>
      </c>
      <c r="E296" s="4">
        <v>1200</v>
      </c>
      <c r="F296" s="5" t="s">
        <v>13</v>
      </c>
      <c r="G296" s="5" t="s">
        <v>234</v>
      </c>
      <c r="H296" s="1">
        <f t="shared" si="9"/>
        <v>1200</v>
      </c>
    </row>
    <row r="297" spans="1:8" x14ac:dyDescent="0.3">
      <c r="A297" s="2" t="str">
        <f t="shared" si="8"/>
        <v>May-2023</v>
      </c>
      <c r="B297" s="2">
        <v>45070.662441631946</v>
      </c>
      <c r="C297" s="5" t="s">
        <v>6</v>
      </c>
      <c r="D297" s="3">
        <v>4</v>
      </c>
      <c r="E297" s="4">
        <v>450</v>
      </c>
      <c r="F297" s="5" t="s">
        <v>10</v>
      </c>
      <c r="G297" s="5" t="s">
        <v>235</v>
      </c>
      <c r="H297" s="1">
        <f t="shared" si="9"/>
        <v>1800</v>
      </c>
    </row>
    <row r="298" spans="1:8" x14ac:dyDescent="0.3">
      <c r="A298" s="2" t="str">
        <f t="shared" si="8"/>
        <v>May-2023</v>
      </c>
      <c r="B298" s="2">
        <v>45071.149432951388</v>
      </c>
      <c r="C298" s="5" t="s">
        <v>26</v>
      </c>
      <c r="D298" s="3">
        <v>6</v>
      </c>
      <c r="E298" s="4">
        <v>150</v>
      </c>
      <c r="F298" s="5" t="s">
        <v>13</v>
      </c>
      <c r="G298" s="5" t="s">
        <v>236</v>
      </c>
      <c r="H298" s="1">
        <f t="shared" si="9"/>
        <v>900</v>
      </c>
    </row>
    <row r="299" spans="1:8" x14ac:dyDescent="0.3">
      <c r="A299" s="2" t="str">
        <f t="shared" si="8"/>
        <v>May-2023</v>
      </c>
      <c r="B299" s="2">
        <v>45071.636424282406</v>
      </c>
      <c r="C299" s="5" t="s">
        <v>6</v>
      </c>
      <c r="D299" s="3">
        <v>1</v>
      </c>
      <c r="E299" s="4">
        <v>3500</v>
      </c>
      <c r="F299" s="5" t="s">
        <v>7</v>
      </c>
      <c r="G299" s="5" t="s">
        <v>237</v>
      </c>
      <c r="H299" s="1">
        <f t="shared" si="9"/>
        <v>3500</v>
      </c>
    </row>
    <row r="300" spans="1:8" x14ac:dyDescent="0.3">
      <c r="A300" s="2" t="str">
        <f t="shared" si="8"/>
        <v>May-2023</v>
      </c>
      <c r="B300" s="2">
        <v>45072.123415613423</v>
      </c>
      <c r="C300" s="5" t="s">
        <v>26</v>
      </c>
      <c r="D300" s="3">
        <v>2</v>
      </c>
      <c r="E300" s="4">
        <v>1800</v>
      </c>
      <c r="F300" s="5" t="s">
        <v>10</v>
      </c>
      <c r="G300" s="5" t="s">
        <v>238</v>
      </c>
      <c r="H300" s="1">
        <f t="shared" si="9"/>
        <v>3600</v>
      </c>
    </row>
    <row r="301" spans="1:8" x14ac:dyDescent="0.3">
      <c r="A301" s="2" t="str">
        <f t="shared" si="8"/>
        <v>May-2023</v>
      </c>
      <c r="B301" s="2">
        <v>45072.610406932872</v>
      </c>
      <c r="C301" s="5" t="s">
        <v>12</v>
      </c>
      <c r="D301" s="3">
        <v>6</v>
      </c>
      <c r="E301" s="4">
        <v>700</v>
      </c>
      <c r="F301" s="5" t="s">
        <v>10</v>
      </c>
      <c r="G301" s="5" t="s">
        <v>84</v>
      </c>
      <c r="H301" s="1">
        <f t="shared" si="9"/>
        <v>4200</v>
      </c>
    </row>
    <row r="302" spans="1:8" x14ac:dyDescent="0.3">
      <c r="A302" s="2" t="str">
        <f t="shared" si="8"/>
        <v>May-2023</v>
      </c>
      <c r="B302" s="2">
        <v>45073.09739826389</v>
      </c>
      <c r="C302" s="5" t="s">
        <v>26</v>
      </c>
      <c r="D302" s="3">
        <v>1</v>
      </c>
      <c r="E302" s="4">
        <v>150</v>
      </c>
      <c r="F302" s="5" t="s">
        <v>7</v>
      </c>
      <c r="G302" s="5" t="s">
        <v>106</v>
      </c>
      <c r="H302" s="1">
        <f t="shared" si="9"/>
        <v>150</v>
      </c>
    </row>
    <row r="303" spans="1:8" x14ac:dyDescent="0.3">
      <c r="A303" s="2" t="str">
        <f t="shared" si="8"/>
        <v>May-2023</v>
      </c>
      <c r="B303" s="2">
        <v>45073.584389594907</v>
      </c>
      <c r="C303" s="5" t="s">
        <v>36</v>
      </c>
      <c r="D303" s="3">
        <v>6</v>
      </c>
      <c r="E303" s="4">
        <v>1800</v>
      </c>
      <c r="F303" s="5" t="s">
        <v>7</v>
      </c>
      <c r="G303" s="5" t="s">
        <v>193</v>
      </c>
      <c r="H303" s="1">
        <f t="shared" si="9"/>
        <v>10800</v>
      </c>
    </row>
    <row r="304" spans="1:8" x14ac:dyDescent="0.3">
      <c r="A304" s="2" t="str">
        <f t="shared" si="8"/>
        <v>May-2023</v>
      </c>
      <c r="B304" s="2">
        <v>45074.071380925925</v>
      </c>
      <c r="C304" s="5" t="s">
        <v>12</v>
      </c>
      <c r="D304" s="3">
        <v>2</v>
      </c>
      <c r="E304" s="4">
        <v>1800</v>
      </c>
      <c r="F304" s="5" t="s">
        <v>13</v>
      </c>
      <c r="G304" s="5" t="s">
        <v>239</v>
      </c>
      <c r="H304" s="1">
        <f t="shared" si="9"/>
        <v>3600</v>
      </c>
    </row>
    <row r="305" spans="1:8" x14ac:dyDescent="0.3">
      <c r="A305" s="2" t="str">
        <f t="shared" si="8"/>
        <v>May-2023</v>
      </c>
      <c r="B305" s="2">
        <v>45074.558372245374</v>
      </c>
      <c r="C305" s="5" t="s">
        <v>36</v>
      </c>
      <c r="D305" s="3">
        <v>3</v>
      </c>
      <c r="E305" s="4">
        <v>3500</v>
      </c>
      <c r="F305" s="5" t="s">
        <v>13</v>
      </c>
      <c r="G305" s="5" t="s">
        <v>25</v>
      </c>
      <c r="H305" s="1">
        <f t="shared" si="9"/>
        <v>10500</v>
      </c>
    </row>
    <row r="306" spans="1:8" x14ac:dyDescent="0.3">
      <c r="A306" s="2" t="str">
        <f t="shared" si="8"/>
        <v>May-2023</v>
      </c>
      <c r="B306" s="2">
        <v>45075.045363576392</v>
      </c>
      <c r="C306" s="5" t="s">
        <v>9</v>
      </c>
      <c r="D306" s="3">
        <v>2</v>
      </c>
      <c r="E306" s="4">
        <v>1200</v>
      </c>
      <c r="F306" s="5" t="s">
        <v>7</v>
      </c>
      <c r="G306" s="5" t="s">
        <v>240</v>
      </c>
      <c r="H306" s="1">
        <f t="shared" si="9"/>
        <v>2400</v>
      </c>
    </row>
    <row r="307" spans="1:8" x14ac:dyDescent="0.3">
      <c r="A307" s="2" t="str">
        <f t="shared" si="8"/>
        <v>May-2023</v>
      </c>
      <c r="B307" s="2">
        <v>45075.532354907409</v>
      </c>
      <c r="C307" s="5" t="s">
        <v>17</v>
      </c>
      <c r="D307" s="3">
        <v>2</v>
      </c>
      <c r="E307" s="4">
        <v>3500</v>
      </c>
      <c r="F307" s="5" t="s">
        <v>13</v>
      </c>
      <c r="G307" s="5" t="s">
        <v>32</v>
      </c>
      <c r="H307" s="1">
        <f t="shared" si="9"/>
        <v>7000</v>
      </c>
    </row>
    <row r="308" spans="1:8" x14ac:dyDescent="0.3">
      <c r="A308" s="2" t="str">
        <f t="shared" si="8"/>
        <v>May-2023</v>
      </c>
      <c r="B308" s="2">
        <v>45076.019346226851</v>
      </c>
      <c r="C308" s="5" t="s">
        <v>26</v>
      </c>
      <c r="D308" s="3">
        <v>6</v>
      </c>
      <c r="E308" s="4">
        <v>1200</v>
      </c>
      <c r="F308" s="5" t="s">
        <v>7</v>
      </c>
      <c r="G308" s="5" t="s">
        <v>157</v>
      </c>
      <c r="H308" s="1">
        <f t="shared" si="9"/>
        <v>7200</v>
      </c>
    </row>
    <row r="309" spans="1:8" x14ac:dyDescent="0.3">
      <c r="A309" s="2" t="str">
        <f t="shared" si="8"/>
        <v>May-2023</v>
      </c>
      <c r="B309" s="2">
        <v>45076.506337557868</v>
      </c>
      <c r="C309" s="5" t="s">
        <v>17</v>
      </c>
      <c r="D309" s="3">
        <v>5</v>
      </c>
      <c r="E309" s="4">
        <v>1200</v>
      </c>
      <c r="F309" s="5" t="s">
        <v>10</v>
      </c>
      <c r="G309" s="5" t="s">
        <v>41</v>
      </c>
      <c r="H309" s="1">
        <f t="shared" si="9"/>
        <v>6000</v>
      </c>
    </row>
    <row r="310" spans="1:8" x14ac:dyDescent="0.3">
      <c r="A310" s="2" t="str">
        <f t="shared" si="8"/>
        <v>May-2023</v>
      </c>
      <c r="B310" s="2">
        <v>45076.993328888886</v>
      </c>
      <c r="C310" s="5" t="s">
        <v>17</v>
      </c>
      <c r="D310" s="3">
        <v>4</v>
      </c>
      <c r="E310" s="4">
        <v>150</v>
      </c>
      <c r="F310" s="5" t="s">
        <v>10</v>
      </c>
      <c r="G310" s="5" t="s">
        <v>182</v>
      </c>
      <c r="H310" s="1">
        <f t="shared" si="9"/>
        <v>600</v>
      </c>
    </row>
    <row r="311" spans="1:8" x14ac:dyDescent="0.3">
      <c r="A311" s="2" t="str">
        <f t="shared" si="8"/>
        <v>May-2023</v>
      </c>
      <c r="B311" s="2">
        <v>45077.480320208335</v>
      </c>
      <c r="C311" s="5" t="s">
        <v>26</v>
      </c>
      <c r="D311" s="3">
        <v>4</v>
      </c>
      <c r="E311" s="4">
        <v>150</v>
      </c>
      <c r="F311" s="5" t="s">
        <v>24</v>
      </c>
      <c r="G311" s="5" t="s">
        <v>34</v>
      </c>
      <c r="H311" s="1">
        <f t="shared" si="9"/>
        <v>600</v>
      </c>
    </row>
    <row r="312" spans="1:8" x14ac:dyDescent="0.3">
      <c r="A312" s="2" t="str">
        <f t="shared" si="8"/>
        <v>May-2023</v>
      </c>
      <c r="B312" s="2">
        <v>45077.967311539353</v>
      </c>
      <c r="C312" s="5" t="s">
        <v>12</v>
      </c>
      <c r="D312" s="3">
        <v>3</v>
      </c>
      <c r="E312" s="4">
        <v>700</v>
      </c>
      <c r="F312" s="5" t="s">
        <v>10</v>
      </c>
      <c r="G312" s="5" t="s">
        <v>190</v>
      </c>
      <c r="H312" s="1">
        <f t="shared" si="9"/>
        <v>2100</v>
      </c>
    </row>
    <row r="313" spans="1:8" x14ac:dyDescent="0.3">
      <c r="A313" s="2" t="str">
        <f t="shared" si="8"/>
        <v>Jun-2023</v>
      </c>
      <c r="B313" s="2">
        <v>45078.45430287037</v>
      </c>
      <c r="C313" s="5" t="s">
        <v>9</v>
      </c>
      <c r="D313" s="3">
        <v>3</v>
      </c>
      <c r="E313" s="4">
        <v>1200</v>
      </c>
      <c r="F313" s="5" t="s">
        <v>7</v>
      </c>
      <c r="G313" s="5" t="s">
        <v>241</v>
      </c>
      <c r="H313" s="1">
        <f t="shared" si="9"/>
        <v>3600</v>
      </c>
    </row>
    <row r="314" spans="1:8" x14ac:dyDescent="0.3">
      <c r="A314" s="2" t="str">
        <f t="shared" si="8"/>
        <v>Jun-2023</v>
      </c>
      <c r="B314" s="2">
        <v>45078.941294201388</v>
      </c>
      <c r="C314" s="5" t="s">
        <v>36</v>
      </c>
      <c r="D314" s="3">
        <v>4</v>
      </c>
      <c r="E314" s="4">
        <v>1800</v>
      </c>
      <c r="F314" s="5" t="s">
        <v>13</v>
      </c>
      <c r="G314" s="5" t="s">
        <v>19</v>
      </c>
      <c r="H314" s="1">
        <f t="shared" si="9"/>
        <v>7200</v>
      </c>
    </row>
    <row r="315" spans="1:8" x14ac:dyDescent="0.3">
      <c r="A315" s="2" t="str">
        <f t="shared" si="8"/>
        <v>Jun-2023</v>
      </c>
      <c r="B315" s="2">
        <v>45079.428285520837</v>
      </c>
      <c r="C315" s="5" t="s">
        <v>6</v>
      </c>
      <c r="D315" s="3">
        <v>5</v>
      </c>
      <c r="E315" s="4">
        <v>450</v>
      </c>
      <c r="F315" s="5" t="s">
        <v>24</v>
      </c>
      <c r="G315" s="5" t="s">
        <v>242</v>
      </c>
      <c r="H315" s="1">
        <f t="shared" si="9"/>
        <v>2250</v>
      </c>
    </row>
    <row r="316" spans="1:8" x14ac:dyDescent="0.3">
      <c r="A316" s="2" t="str">
        <f t="shared" si="8"/>
        <v>Jun-2023</v>
      </c>
      <c r="B316" s="2">
        <v>45079.915276851854</v>
      </c>
      <c r="C316" s="5" t="s">
        <v>36</v>
      </c>
      <c r="D316" s="3">
        <v>4</v>
      </c>
      <c r="E316" s="4">
        <v>700</v>
      </c>
      <c r="F316" s="5" t="s">
        <v>13</v>
      </c>
      <c r="G316" s="5" t="s">
        <v>46</v>
      </c>
      <c r="H316" s="1">
        <f t="shared" si="9"/>
        <v>2800</v>
      </c>
    </row>
    <row r="317" spans="1:8" x14ac:dyDescent="0.3">
      <c r="A317" s="2" t="str">
        <f t="shared" si="8"/>
        <v>Jun-2023</v>
      </c>
      <c r="B317" s="2">
        <v>45080.402268182872</v>
      </c>
      <c r="C317" s="5" t="s">
        <v>6</v>
      </c>
      <c r="D317" s="3">
        <v>5</v>
      </c>
      <c r="E317" s="4">
        <v>150</v>
      </c>
      <c r="F317" s="5" t="s">
        <v>7</v>
      </c>
      <c r="G317" s="5" t="s">
        <v>243</v>
      </c>
      <c r="H317" s="1">
        <f t="shared" si="9"/>
        <v>750</v>
      </c>
    </row>
    <row r="318" spans="1:8" x14ac:dyDescent="0.3">
      <c r="A318" s="2" t="str">
        <f t="shared" si="8"/>
        <v>Jun-2023</v>
      </c>
      <c r="B318" s="2">
        <v>45080.889259502314</v>
      </c>
      <c r="C318" s="5" t="s">
        <v>36</v>
      </c>
      <c r="D318" s="3">
        <v>3</v>
      </c>
      <c r="E318" s="4">
        <v>3500</v>
      </c>
      <c r="F318" s="5" t="s">
        <v>10</v>
      </c>
      <c r="G318" s="5" t="s">
        <v>43</v>
      </c>
      <c r="H318" s="1">
        <f t="shared" si="9"/>
        <v>10500</v>
      </c>
    </row>
    <row r="319" spans="1:8" x14ac:dyDescent="0.3">
      <c r="A319" s="2" t="str">
        <f t="shared" si="8"/>
        <v>Jun-2023</v>
      </c>
      <c r="B319" s="2">
        <v>45081.376250833331</v>
      </c>
      <c r="C319" s="5" t="s">
        <v>26</v>
      </c>
      <c r="D319" s="3">
        <v>1</v>
      </c>
      <c r="E319" s="4">
        <v>700</v>
      </c>
      <c r="F319" s="5" t="s">
        <v>24</v>
      </c>
      <c r="G319" s="5" t="s">
        <v>244</v>
      </c>
      <c r="H319" s="1">
        <f t="shared" si="9"/>
        <v>700</v>
      </c>
    </row>
    <row r="320" spans="1:8" x14ac:dyDescent="0.3">
      <c r="A320" s="2" t="str">
        <f t="shared" si="8"/>
        <v>Jun-2023</v>
      </c>
      <c r="B320" s="2">
        <v>45081.863242164349</v>
      </c>
      <c r="C320" s="5" t="s">
        <v>9</v>
      </c>
      <c r="D320" s="3">
        <v>6</v>
      </c>
      <c r="E320" s="4">
        <v>700</v>
      </c>
      <c r="F320" s="5" t="s">
        <v>7</v>
      </c>
      <c r="G320" s="5" t="s">
        <v>86</v>
      </c>
      <c r="H320" s="1">
        <f t="shared" si="9"/>
        <v>4200</v>
      </c>
    </row>
    <row r="321" spans="1:8" x14ac:dyDescent="0.3">
      <c r="A321" s="2" t="str">
        <f t="shared" si="8"/>
        <v>Jun-2023</v>
      </c>
      <c r="B321" s="2">
        <v>45082.350233483798</v>
      </c>
      <c r="C321" s="5" t="s">
        <v>6</v>
      </c>
      <c r="D321" s="3">
        <v>3</v>
      </c>
      <c r="E321" s="4">
        <v>700</v>
      </c>
      <c r="F321" s="5" t="s">
        <v>24</v>
      </c>
      <c r="G321" s="5" t="s">
        <v>245</v>
      </c>
      <c r="H321" s="1">
        <f t="shared" si="9"/>
        <v>2100</v>
      </c>
    </row>
    <row r="322" spans="1:8" x14ac:dyDescent="0.3">
      <c r="A322" s="2" t="str">
        <f t="shared" si="8"/>
        <v>Jun-2023</v>
      </c>
      <c r="B322" s="2">
        <v>45082.837224814815</v>
      </c>
      <c r="C322" s="5" t="s">
        <v>12</v>
      </c>
      <c r="D322" s="3">
        <v>3</v>
      </c>
      <c r="E322" s="4">
        <v>700</v>
      </c>
      <c r="F322" s="5" t="s">
        <v>24</v>
      </c>
      <c r="G322" s="5" t="s">
        <v>246</v>
      </c>
      <c r="H322" s="1">
        <f t="shared" si="9"/>
        <v>2100</v>
      </c>
    </row>
    <row r="323" spans="1:8" x14ac:dyDescent="0.3">
      <c r="A323" s="2" t="str">
        <f t="shared" ref="A323:A386" si="10">TEXT(B323, "mmm-yyyy")</f>
        <v>Jun-2023</v>
      </c>
      <c r="B323" s="2">
        <v>45083.324216145833</v>
      </c>
      <c r="C323" s="5" t="s">
        <v>36</v>
      </c>
      <c r="D323" s="3">
        <v>2</v>
      </c>
      <c r="E323" s="4">
        <v>450</v>
      </c>
      <c r="F323" s="5" t="s">
        <v>10</v>
      </c>
      <c r="G323" s="5" t="s">
        <v>68</v>
      </c>
      <c r="H323" s="1">
        <f t="shared" ref="H323:H386" si="11" xml:space="preserve"> D323 * E323</f>
        <v>900</v>
      </c>
    </row>
    <row r="324" spans="1:8" x14ac:dyDescent="0.3">
      <c r="A324" s="2" t="str">
        <f t="shared" si="10"/>
        <v>Jun-2023</v>
      </c>
      <c r="B324" s="2">
        <v>45083.811207476851</v>
      </c>
      <c r="C324" s="5" t="s">
        <v>36</v>
      </c>
      <c r="D324" s="3">
        <v>2</v>
      </c>
      <c r="E324" s="4">
        <v>3500</v>
      </c>
      <c r="F324" s="5" t="s">
        <v>7</v>
      </c>
      <c r="G324" s="5" t="s">
        <v>247</v>
      </c>
      <c r="H324" s="1">
        <f t="shared" si="11"/>
        <v>7000</v>
      </c>
    </row>
    <row r="325" spans="1:8" x14ac:dyDescent="0.3">
      <c r="A325" s="2" t="str">
        <f t="shared" si="10"/>
        <v>Jun-2023</v>
      </c>
      <c r="B325" s="2">
        <v>45084.298198796299</v>
      </c>
      <c r="C325" s="5" t="s">
        <v>6</v>
      </c>
      <c r="D325" s="3">
        <v>2</v>
      </c>
      <c r="E325" s="4">
        <v>3500</v>
      </c>
      <c r="F325" s="5" t="s">
        <v>13</v>
      </c>
      <c r="G325" s="5" t="s">
        <v>248</v>
      </c>
      <c r="H325" s="1">
        <f t="shared" si="11"/>
        <v>7000</v>
      </c>
    </row>
    <row r="326" spans="1:8" x14ac:dyDescent="0.3">
      <c r="A326" s="2" t="str">
        <f t="shared" si="10"/>
        <v>Jun-2023</v>
      </c>
      <c r="B326" s="2">
        <v>45084.785190127317</v>
      </c>
      <c r="C326" s="5" t="s">
        <v>12</v>
      </c>
      <c r="D326" s="3">
        <v>6</v>
      </c>
      <c r="E326" s="4">
        <v>3500</v>
      </c>
      <c r="F326" s="5" t="s">
        <v>24</v>
      </c>
      <c r="G326" s="5" t="s">
        <v>249</v>
      </c>
      <c r="H326" s="1">
        <f t="shared" si="11"/>
        <v>21000</v>
      </c>
    </row>
    <row r="327" spans="1:8" x14ac:dyDescent="0.3">
      <c r="A327" s="2" t="str">
        <f t="shared" si="10"/>
        <v>Jun-2023</v>
      </c>
      <c r="B327" s="2">
        <v>45085.272181458335</v>
      </c>
      <c r="C327" s="5" t="s">
        <v>12</v>
      </c>
      <c r="D327" s="3">
        <v>2</v>
      </c>
      <c r="E327" s="4">
        <v>1200</v>
      </c>
      <c r="F327" s="5" t="s">
        <v>24</v>
      </c>
      <c r="G327" s="5" t="s">
        <v>250</v>
      </c>
      <c r="H327" s="1">
        <f t="shared" si="11"/>
        <v>2400</v>
      </c>
    </row>
    <row r="328" spans="1:8" x14ac:dyDescent="0.3">
      <c r="A328" s="2" t="str">
        <f t="shared" si="10"/>
        <v>Jun-2023</v>
      </c>
      <c r="B328" s="2">
        <v>45085.759172777776</v>
      </c>
      <c r="C328" s="5" t="s">
        <v>26</v>
      </c>
      <c r="D328" s="3">
        <v>5</v>
      </c>
      <c r="E328" s="4">
        <v>1800</v>
      </c>
      <c r="F328" s="5" t="s">
        <v>13</v>
      </c>
      <c r="G328" s="5" t="s">
        <v>251</v>
      </c>
      <c r="H328" s="1">
        <f t="shared" si="11"/>
        <v>9000</v>
      </c>
    </row>
    <row r="329" spans="1:8" x14ac:dyDescent="0.3">
      <c r="A329" s="2" t="str">
        <f t="shared" si="10"/>
        <v>Jun-2023</v>
      </c>
      <c r="B329" s="2">
        <v>45086.246164108794</v>
      </c>
      <c r="C329" s="5" t="s">
        <v>26</v>
      </c>
      <c r="D329" s="3">
        <v>4</v>
      </c>
      <c r="E329" s="4">
        <v>3500</v>
      </c>
      <c r="F329" s="5" t="s">
        <v>7</v>
      </c>
      <c r="G329" s="5" t="s">
        <v>252</v>
      </c>
      <c r="H329" s="1">
        <f t="shared" si="11"/>
        <v>14000</v>
      </c>
    </row>
    <row r="330" spans="1:8" x14ac:dyDescent="0.3">
      <c r="A330" s="2" t="str">
        <f t="shared" si="10"/>
        <v>Jun-2023</v>
      </c>
      <c r="B330" s="2">
        <v>45086.733155439812</v>
      </c>
      <c r="C330" s="5" t="s">
        <v>26</v>
      </c>
      <c r="D330" s="3">
        <v>1</v>
      </c>
      <c r="E330" s="4">
        <v>700</v>
      </c>
      <c r="F330" s="5" t="s">
        <v>24</v>
      </c>
      <c r="G330" s="5" t="s">
        <v>253</v>
      </c>
      <c r="H330" s="1">
        <f t="shared" si="11"/>
        <v>700</v>
      </c>
    </row>
    <row r="331" spans="1:8" x14ac:dyDescent="0.3">
      <c r="A331" s="2" t="str">
        <f t="shared" si="10"/>
        <v>Jun-2023</v>
      </c>
      <c r="B331" s="2">
        <v>45087.22014675926</v>
      </c>
      <c r="C331" s="5" t="s">
        <v>26</v>
      </c>
      <c r="D331" s="3">
        <v>3</v>
      </c>
      <c r="E331" s="4">
        <v>700</v>
      </c>
      <c r="F331" s="5" t="s">
        <v>24</v>
      </c>
      <c r="G331" s="5" t="s">
        <v>254</v>
      </c>
      <c r="H331" s="1">
        <f t="shared" si="11"/>
        <v>2100</v>
      </c>
    </row>
    <row r="332" spans="1:8" x14ac:dyDescent="0.3">
      <c r="A332" s="2" t="str">
        <f t="shared" si="10"/>
        <v>Jun-2023</v>
      </c>
      <c r="B332" s="2">
        <v>45087.707138090278</v>
      </c>
      <c r="C332" s="5" t="s">
        <v>26</v>
      </c>
      <c r="D332" s="3">
        <v>5</v>
      </c>
      <c r="E332" s="4">
        <v>3500</v>
      </c>
      <c r="F332" s="5" t="s">
        <v>24</v>
      </c>
      <c r="G332" s="5" t="s">
        <v>114</v>
      </c>
      <c r="H332" s="1">
        <f t="shared" si="11"/>
        <v>17500</v>
      </c>
    </row>
    <row r="333" spans="1:8" x14ac:dyDescent="0.3">
      <c r="A333" s="2" t="str">
        <f t="shared" si="10"/>
        <v>Jun-2023</v>
      </c>
      <c r="B333" s="2">
        <v>45088.194129421296</v>
      </c>
      <c r="C333" s="5" t="s">
        <v>26</v>
      </c>
      <c r="D333" s="3">
        <v>1</v>
      </c>
      <c r="E333" s="4">
        <v>3500</v>
      </c>
      <c r="F333" s="5" t="s">
        <v>7</v>
      </c>
      <c r="G333" s="5" t="s">
        <v>255</v>
      </c>
      <c r="H333" s="1">
        <f t="shared" si="11"/>
        <v>3500</v>
      </c>
    </row>
    <row r="334" spans="1:8" x14ac:dyDescent="0.3">
      <c r="A334" s="2" t="str">
        <f t="shared" si="10"/>
        <v>Jun-2023</v>
      </c>
      <c r="B334" s="2">
        <v>45088.681120752313</v>
      </c>
      <c r="C334" s="5" t="s">
        <v>9</v>
      </c>
      <c r="D334" s="3">
        <v>5</v>
      </c>
      <c r="E334" s="4">
        <v>700</v>
      </c>
      <c r="F334" s="5" t="s">
        <v>7</v>
      </c>
      <c r="G334" s="5" t="s">
        <v>160</v>
      </c>
      <c r="H334" s="1">
        <f t="shared" si="11"/>
        <v>3500</v>
      </c>
    </row>
    <row r="335" spans="1:8" x14ac:dyDescent="0.3">
      <c r="A335" s="2" t="str">
        <f t="shared" si="10"/>
        <v>Jun-2023</v>
      </c>
      <c r="B335" s="2">
        <v>45089.168112071762</v>
      </c>
      <c r="C335" s="5" t="s">
        <v>12</v>
      </c>
      <c r="D335" s="3">
        <v>5</v>
      </c>
      <c r="E335" s="4">
        <v>1200</v>
      </c>
      <c r="F335" s="5" t="s">
        <v>13</v>
      </c>
      <c r="G335" s="5" t="s">
        <v>53</v>
      </c>
      <c r="H335" s="1">
        <f t="shared" si="11"/>
        <v>6000</v>
      </c>
    </row>
    <row r="336" spans="1:8" x14ac:dyDescent="0.3">
      <c r="A336" s="2" t="str">
        <f t="shared" si="10"/>
        <v>Jun-2023</v>
      </c>
      <c r="B336" s="2">
        <v>45089.65510340278</v>
      </c>
      <c r="C336" s="5" t="s">
        <v>26</v>
      </c>
      <c r="D336" s="3">
        <v>3</v>
      </c>
      <c r="E336" s="4">
        <v>150</v>
      </c>
      <c r="F336" s="5" t="s">
        <v>7</v>
      </c>
      <c r="G336" s="5" t="s">
        <v>256</v>
      </c>
      <c r="H336" s="1">
        <f t="shared" si="11"/>
        <v>450</v>
      </c>
    </row>
    <row r="337" spans="1:8" x14ac:dyDescent="0.3">
      <c r="A337" s="2" t="str">
        <f t="shared" si="10"/>
        <v>Jun-2023</v>
      </c>
      <c r="B337" s="2">
        <v>45090.142094733797</v>
      </c>
      <c r="C337" s="5" t="s">
        <v>12</v>
      </c>
      <c r="D337" s="3">
        <v>4</v>
      </c>
      <c r="E337" s="4">
        <v>150</v>
      </c>
      <c r="F337" s="5" t="s">
        <v>7</v>
      </c>
      <c r="G337" s="5" t="s">
        <v>257</v>
      </c>
      <c r="H337" s="1">
        <f t="shared" si="11"/>
        <v>600</v>
      </c>
    </row>
    <row r="338" spans="1:8" x14ac:dyDescent="0.3">
      <c r="A338" s="2" t="str">
        <f t="shared" si="10"/>
        <v>Jun-2023</v>
      </c>
      <c r="B338" s="2">
        <v>45090.629086053239</v>
      </c>
      <c r="C338" s="5" t="s">
        <v>12</v>
      </c>
      <c r="D338" s="3">
        <v>2</v>
      </c>
      <c r="E338" s="4">
        <v>3500</v>
      </c>
      <c r="F338" s="5" t="s">
        <v>10</v>
      </c>
      <c r="G338" s="5" t="s">
        <v>66</v>
      </c>
      <c r="H338" s="1">
        <f t="shared" si="11"/>
        <v>7000</v>
      </c>
    </row>
    <row r="339" spans="1:8" x14ac:dyDescent="0.3">
      <c r="A339" s="2" t="str">
        <f t="shared" si="10"/>
        <v>Jun-2023</v>
      </c>
      <c r="B339" s="2">
        <v>45091.116077384257</v>
      </c>
      <c r="C339" s="5" t="s">
        <v>17</v>
      </c>
      <c r="D339" s="3">
        <v>6</v>
      </c>
      <c r="E339" s="4">
        <v>450</v>
      </c>
      <c r="F339" s="5" t="s">
        <v>13</v>
      </c>
      <c r="G339" s="5" t="s">
        <v>258</v>
      </c>
      <c r="H339" s="1">
        <f t="shared" si="11"/>
        <v>2700</v>
      </c>
    </row>
    <row r="340" spans="1:8" x14ac:dyDescent="0.3">
      <c r="A340" s="2" t="str">
        <f t="shared" si="10"/>
        <v>Jun-2023</v>
      </c>
      <c r="B340" s="2">
        <v>45091.603068715274</v>
      </c>
      <c r="C340" s="5" t="s">
        <v>9</v>
      </c>
      <c r="D340" s="3">
        <v>4</v>
      </c>
      <c r="E340" s="4">
        <v>3500</v>
      </c>
      <c r="F340" s="5" t="s">
        <v>24</v>
      </c>
      <c r="G340" s="5" t="s">
        <v>259</v>
      </c>
      <c r="H340" s="1">
        <f t="shared" si="11"/>
        <v>14000</v>
      </c>
    </row>
    <row r="341" spans="1:8" x14ac:dyDescent="0.3">
      <c r="A341" s="2" t="str">
        <f t="shared" si="10"/>
        <v>Jun-2023</v>
      </c>
      <c r="B341" s="2">
        <v>45092.090060034723</v>
      </c>
      <c r="C341" s="5" t="s">
        <v>26</v>
      </c>
      <c r="D341" s="3">
        <v>6</v>
      </c>
      <c r="E341" s="4">
        <v>3500</v>
      </c>
      <c r="F341" s="5" t="s">
        <v>7</v>
      </c>
      <c r="G341" s="5" t="s">
        <v>260</v>
      </c>
      <c r="H341" s="1">
        <f t="shared" si="11"/>
        <v>21000</v>
      </c>
    </row>
    <row r="342" spans="1:8" x14ac:dyDescent="0.3">
      <c r="A342" s="2" t="str">
        <f t="shared" si="10"/>
        <v>Jun-2023</v>
      </c>
      <c r="B342" s="2">
        <v>45092.577051365741</v>
      </c>
      <c r="C342" s="5" t="s">
        <v>36</v>
      </c>
      <c r="D342" s="3">
        <v>3</v>
      </c>
      <c r="E342" s="4">
        <v>150</v>
      </c>
      <c r="F342" s="5" t="s">
        <v>24</v>
      </c>
      <c r="G342" s="5" t="s">
        <v>261</v>
      </c>
      <c r="H342" s="1">
        <f t="shared" si="11"/>
        <v>450</v>
      </c>
    </row>
    <row r="343" spans="1:8" x14ac:dyDescent="0.3">
      <c r="A343" s="2" t="str">
        <f t="shared" si="10"/>
        <v>Jun-2023</v>
      </c>
      <c r="B343" s="2">
        <v>45093.064042696758</v>
      </c>
      <c r="C343" s="5" t="s">
        <v>6</v>
      </c>
      <c r="D343" s="3">
        <v>3</v>
      </c>
      <c r="E343" s="4">
        <v>700</v>
      </c>
      <c r="F343" s="5" t="s">
        <v>24</v>
      </c>
      <c r="G343" s="5" t="s">
        <v>213</v>
      </c>
      <c r="H343" s="1">
        <f t="shared" si="11"/>
        <v>2100</v>
      </c>
    </row>
    <row r="344" spans="1:8" x14ac:dyDescent="0.3">
      <c r="A344" s="2" t="str">
        <f t="shared" si="10"/>
        <v>Jun-2023</v>
      </c>
      <c r="B344" s="2">
        <v>45093.551034027776</v>
      </c>
      <c r="C344" s="5" t="s">
        <v>36</v>
      </c>
      <c r="D344" s="3">
        <v>3</v>
      </c>
      <c r="E344" s="4">
        <v>3500</v>
      </c>
      <c r="F344" s="5" t="s">
        <v>10</v>
      </c>
      <c r="G344" s="5" t="s">
        <v>33</v>
      </c>
      <c r="H344" s="1">
        <f t="shared" si="11"/>
        <v>10500</v>
      </c>
    </row>
    <row r="345" spans="1:8" x14ac:dyDescent="0.3">
      <c r="A345" s="2" t="str">
        <f t="shared" si="10"/>
        <v>Jun-2023</v>
      </c>
      <c r="B345" s="2">
        <v>45094.038025347225</v>
      </c>
      <c r="C345" s="5" t="s">
        <v>9</v>
      </c>
      <c r="D345" s="3">
        <v>1</v>
      </c>
      <c r="E345" s="4">
        <v>700</v>
      </c>
      <c r="F345" s="5" t="s">
        <v>7</v>
      </c>
      <c r="G345" s="5" t="s">
        <v>139</v>
      </c>
      <c r="H345" s="1">
        <f t="shared" si="11"/>
        <v>700</v>
      </c>
    </row>
    <row r="346" spans="1:8" x14ac:dyDescent="0.3">
      <c r="A346" s="2" t="str">
        <f t="shared" si="10"/>
        <v>Jun-2023</v>
      </c>
      <c r="B346" s="2">
        <v>45094.525016678243</v>
      </c>
      <c r="C346" s="5" t="s">
        <v>6</v>
      </c>
      <c r="D346" s="3">
        <v>6</v>
      </c>
      <c r="E346" s="4">
        <v>700</v>
      </c>
      <c r="F346" s="5" t="s">
        <v>13</v>
      </c>
      <c r="G346" s="5" t="s">
        <v>262</v>
      </c>
      <c r="H346" s="1">
        <f t="shared" si="11"/>
        <v>4200</v>
      </c>
    </row>
    <row r="347" spans="1:8" x14ac:dyDescent="0.3">
      <c r="A347" s="2" t="str">
        <f t="shared" si="10"/>
        <v>Jun-2023</v>
      </c>
      <c r="B347" s="2">
        <v>45095.01200800926</v>
      </c>
      <c r="C347" s="5" t="s">
        <v>9</v>
      </c>
      <c r="D347" s="3">
        <v>4</v>
      </c>
      <c r="E347" s="4">
        <v>450</v>
      </c>
      <c r="F347" s="5" t="s">
        <v>7</v>
      </c>
      <c r="G347" s="5" t="s">
        <v>263</v>
      </c>
      <c r="H347" s="1">
        <f t="shared" si="11"/>
        <v>1800</v>
      </c>
    </row>
    <row r="348" spans="1:8" x14ac:dyDescent="0.3">
      <c r="A348" s="2" t="str">
        <f t="shared" si="10"/>
        <v>Jun-2023</v>
      </c>
      <c r="B348" s="2">
        <v>45095.498999328702</v>
      </c>
      <c r="C348" s="5" t="s">
        <v>12</v>
      </c>
      <c r="D348" s="3">
        <v>4</v>
      </c>
      <c r="E348" s="4">
        <v>700</v>
      </c>
      <c r="F348" s="5" t="s">
        <v>24</v>
      </c>
      <c r="G348" s="5" t="s">
        <v>150</v>
      </c>
      <c r="H348" s="1">
        <f t="shared" si="11"/>
        <v>2800</v>
      </c>
    </row>
    <row r="349" spans="1:8" x14ac:dyDescent="0.3">
      <c r="A349" s="2" t="str">
        <f t="shared" si="10"/>
        <v>Jun-2023</v>
      </c>
      <c r="B349" s="2">
        <v>45095.985990659719</v>
      </c>
      <c r="C349" s="5" t="s">
        <v>6</v>
      </c>
      <c r="D349" s="3">
        <v>5</v>
      </c>
      <c r="E349" s="4">
        <v>150</v>
      </c>
      <c r="F349" s="5" t="s">
        <v>13</v>
      </c>
      <c r="G349" s="5" t="s">
        <v>200</v>
      </c>
      <c r="H349" s="1">
        <f t="shared" si="11"/>
        <v>750</v>
      </c>
    </row>
    <row r="350" spans="1:8" x14ac:dyDescent="0.3">
      <c r="A350" s="2" t="str">
        <f t="shared" si="10"/>
        <v>Jun-2023</v>
      </c>
      <c r="B350" s="2">
        <v>45096.472981990744</v>
      </c>
      <c r="C350" s="5" t="s">
        <v>12</v>
      </c>
      <c r="D350" s="3">
        <v>5</v>
      </c>
      <c r="E350" s="4">
        <v>1200</v>
      </c>
      <c r="F350" s="5" t="s">
        <v>7</v>
      </c>
      <c r="G350" s="5" t="s">
        <v>264</v>
      </c>
      <c r="H350" s="1">
        <f t="shared" si="11"/>
        <v>6000</v>
      </c>
    </row>
    <row r="351" spans="1:8" x14ac:dyDescent="0.3">
      <c r="A351" s="2" t="str">
        <f t="shared" si="10"/>
        <v>Jun-2023</v>
      </c>
      <c r="B351" s="2">
        <v>45096.959973310186</v>
      </c>
      <c r="C351" s="5" t="s">
        <v>36</v>
      </c>
      <c r="D351" s="3">
        <v>5</v>
      </c>
      <c r="E351" s="4">
        <v>1200</v>
      </c>
      <c r="F351" s="5" t="s">
        <v>24</v>
      </c>
      <c r="G351" s="5" t="s">
        <v>247</v>
      </c>
      <c r="H351" s="1">
        <f t="shared" si="11"/>
        <v>6000</v>
      </c>
    </row>
    <row r="352" spans="1:8" x14ac:dyDescent="0.3">
      <c r="A352" s="2" t="str">
        <f t="shared" si="10"/>
        <v>Jun-2023</v>
      </c>
      <c r="B352" s="2">
        <v>45097.446964641204</v>
      </c>
      <c r="C352" s="5" t="s">
        <v>36</v>
      </c>
      <c r="D352" s="3">
        <v>3</v>
      </c>
      <c r="E352" s="4">
        <v>1800</v>
      </c>
      <c r="F352" s="5" t="s">
        <v>24</v>
      </c>
      <c r="G352" s="5" t="s">
        <v>265</v>
      </c>
      <c r="H352" s="1">
        <f t="shared" si="11"/>
        <v>5400</v>
      </c>
    </row>
    <row r="353" spans="1:8" x14ac:dyDescent="0.3">
      <c r="A353" s="2" t="str">
        <f t="shared" si="10"/>
        <v>Jun-2023</v>
      </c>
      <c r="B353" s="2">
        <v>45097.933955972221</v>
      </c>
      <c r="C353" s="5" t="s">
        <v>6</v>
      </c>
      <c r="D353" s="3">
        <v>4</v>
      </c>
      <c r="E353" s="4">
        <v>3500</v>
      </c>
      <c r="F353" s="5" t="s">
        <v>10</v>
      </c>
      <c r="G353" s="5" t="s">
        <v>266</v>
      </c>
      <c r="H353" s="1">
        <f t="shared" si="11"/>
        <v>14000</v>
      </c>
    </row>
    <row r="354" spans="1:8" x14ac:dyDescent="0.3">
      <c r="A354" s="2" t="str">
        <f t="shared" si="10"/>
        <v>Jun-2023</v>
      </c>
      <c r="B354" s="2">
        <v>45098.420947303239</v>
      </c>
      <c r="C354" s="5" t="s">
        <v>6</v>
      </c>
      <c r="D354" s="3">
        <v>6</v>
      </c>
      <c r="E354" s="4">
        <v>150</v>
      </c>
      <c r="F354" s="5" t="s">
        <v>10</v>
      </c>
      <c r="G354" s="5" t="s">
        <v>121</v>
      </c>
      <c r="H354" s="1">
        <f t="shared" si="11"/>
        <v>900</v>
      </c>
    </row>
    <row r="355" spans="1:8" x14ac:dyDescent="0.3">
      <c r="A355" s="2" t="str">
        <f t="shared" si="10"/>
        <v>Jun-2023</v>
      </c>
      <c r="B355" s="2">
        <v>45098.907938622688</v>
      </c>
      <c r="C355" s="5" t="s">
        <v>26</v>
      </c>
      <c r="D355" s="3">
        <v>3</v>
      </c>
      <c r="E355" s="4">
        <v>700</v>
      </c>
      <c r="F355" s="5" t="s">
        <v>10</v>
      </c>
      <c r="G355" s="5" t="s">
        <v>267</v>
      </c>
      <c r="H355" s="1">
        <f t="shared" si="11"/>
        <v>2100</v>
      </c>
    </row>
    <row r="356" spans="1:8" x14ac:dyDescent="0.3">
      <c r="A356" s="2" t="str">
        <f t="shared" si="10"/>
        <v>Jun-2023</v>
      </c>
      <c r="B356" s="2">
        <v>45099.394929953705</v>
      </c>
      <c r="C356" s="5" t="s">
        <v>9</v>
      </c>
      <c r="D356" s="3">
        <v>1</v>
      </c>
      <c r="E356" s="4">
        <v>1200</v>
      </c>
      <c r="F356" s="5" t="s">
        <v>24</v>
      </c>
      <c r="G356" s="5" t="s">
        <v>268</v>
      </c>
      <c r="H356" s="1">
        <f t="shared" si="11"/>
        <v>1200</v>
      </c>
    </row>
    <row r="357" spans="1:8" x14ac:dyDescent="0.3">
      <c r="A357" s="2" t="str">
        <f t="shared" si="10"/>
        <v>Jun-2023</v>
      </c>
      <c r="B357" s="2">
        <v>45099.881921284723</v>
      </c>
      <c r="C357" s="5" t="s">
        <v>26</v>
      </c>
      <c r="D357" s="3">
        <v>5</v>
      </c>
      <c r="E357" s="4">
        <v>150</v>
      </c>
      <c r="F357" s="5" t="s">
        <v>7</v>
      </c>
      <c r="G357" s="5" t="s">
        <v>211</v>
      </c>
      <c r="H357" s="1">
        <f t="shared" si="11"/>
        <v>750</v>
      </c>
    </row>
    <row r="358" spans="1:8" x14ac:dyDescent="0.3">
      <c r="A358" s="2" t="str">
        <f t="shared" si="10"/>
        <v>Jun-2023</v>
      </c>
      <c r="B358" s="2">
        <v>45100.368912604165</v>
      </c>
      <c r="C358" s="5" t="s">
        <v>9</v>
      </c>
      <c r="D358" s="3">
        <v>3</v>
      </c>
      <c r="E358" s="4">
        <v>1200</v>
      </c>
      <c r="F358" s="5" t="s">
        <v>10</v>
      </c>
      <c r="G358" s="5" t="s">
        <v>269</v>
      </c>
      <c r="H358" s="1">
        <f t="shared" si="11"/>
        <v>3600</v>
      </c>
    </row>
    <row r="359" spans="1:8" x14ac:dyDescent="0.3">
      <c r="A359" s="2" t="str">
        <f t="shared" si="10"/>
        <v>Jun-2023</v>
      </c>
      <c r="B359" s="2">
        <v>45100.855903935182</v>
      </c>
      <c r="C359" s="5" t="s">
        <v>26</v>
      </c>
      <c r="D359" s="3">
        <v>3</v>
      </c>
      <c r="E359" s="4">
        <v>700</v>
      </c>
      <c r="F359" s="5" t="s">
        <v>7</v>
      </c>
      <c r="G359" s="5" t="s">
        <v>226</v>
      </c>
      <c r="H359" s="1">
        <f t="shared" si="11"/>
        <v>2100</v>
      </c>
    </row>
    <row r="360" spans="1:8" x14ac:dyDescent="0.3">
      <c r="A360" s="2" t="str">
        <f t="shared" si="10"/>
        <v>Jun-2023</v>
      </c>
      <c r="B360" s="2">
        <v>45101.342895266207</v>
      </c>
      <c r="C360" s="5" t="s">
        <v>12</v>
      </c>
      <c r="D360" s="3">
        <v>1</v>
      </c>
      <c r="E360" s="4">
        <v>1200</v>
      </c>
      <c r="F360" s="5" t="s">
        <v>10</v>
      </c>
      <c r="G360" s="5" t="s">
        <v>270</v>
      </c>
      <c r="H360" s="1">
        <f t="shared" si="11"/>
        <v>1200</v>
      </c>
    </row>
    <row r="361" spans="1:8" x14ac:dyDescent="0.3">
      <c r="A361" s="2" t="str">
        <f t="shared" si="10"/>
        <v>Jun-2023</v>
      </c>
      <c r="B361" s="2">
        <v>45101.829886585649</v>
      </c>
      <c r="C361" s="5" t="s">
        <v>6</v>
      </c>
      <c r="D361" s="3">
        <v>2</v>
      </c>
      <c r="E361" s="4">
        <v>3500</v>
      </c>
      <c r="F361" s="5" t="s">
        <v>13</v>
      </c>
      <c r="G361" s="5" t="s">
        <v>148</v>
      </c>
      <c r="H361" s="1">
        <f t="shared" si="11"/>
        <v>7000</v>
      </c>
    </row>
    <row r="362" spans="1:8" x14ac:dyDescent="0.3">
      <c r="A362" s="2" t="str">
        <f t="shared" si="10"/>
        <v>Jun-2023</v>
      </c>
      <c r="B362" s="2">
        <v>45102.316877916666</v>
      </c>
      <c r="C362" s="5" t="s">
        <v>36</v>
      </c>
      <c r="D362" s="3">
        <v>4</v>
      </c>
      <c r="E362" s="4">
        <v>3500</v>
      </c>
      <c r="F362" s="5" t="s">
        <v>13</v>
      </c>
      <c r="G362" s="5" t="s">
        <v>271</v>
      </c>
      <c r="H362" s="1">
        <f t="shared" si="11"/>
        <v>14000</v>
      </c>
    </row>
    <row r="363" spans="1:8" x14ac:dyDescent="0.3">
      <c r="A363" s="2" t="str">
        <f t="shared" si="10"/>
        <v>Jun-2023</v>
      </c>
      <c r="B363" s="2">
        <v>45102.803869247684</v>
      </c>
      <c r="C363" s="5" t="s">
        <v>9</v>
      </c>
      <c r="D363" s="3">
        <v>6</v>
      </c>
      <c r="E363" s="4">
        <v>1800</v>
      </c>
      <c r="F363" s="5" t="s">
        <v>10</v>
      </c>
      <c r="G363" s="5" t="s">
        <v>272</v>
      </c>
      <c r="H363" s="1">
        <f t="shared" si="11"/>
        <v>10800</v>
      </c>
    </row>
    <row r="364" spans="1:8" x14ac:dyDescent="0.3">
      <c r="A364" s="2" t="str">
        <f t="shared" si="10"/>
        <v>Jun-2023</v>
      </c>
      <c r="B364" s="2">
        <v>45103.290860578702</v>
      </c>
      <c r="C364" s="5" t="s">
        <v>9</v>
      </c>
      <c r="D364" s="3">
        <v>2</v>
      </c>
      <c r="E364" s="4">
        <v>1800</v>
      </c>
      <c r="F364" s="5" t="s">
        <v>24</v>
      </c>
      <c r="G364" s="5" t="s">
        <v>205</v>
      </c>
      <c r="H364" s="1">
        <f t="shared" si="11"/>
        <v>3600</v>
      </c>
    </row>
    <row r="365" spans="1:8" x14ac:dyDescent="0.3">
      <c r="A365" s="2" t="str">
        <f t="shared" si="10"/>
        <v>Jun-2023</v>
      </c>
      <c r="B365" s="2">
        <v>45103.77785189815</v>
      </c>
      <c r="C365" s="5" t="s">
        <v>36</v>
      </c>
      <c r="D365" s="3">
        <v>5</v>
      </c>
      <c r="E365" s="4">
        <v>1200</v>
      </c>
      <c r="F365" s="5" t="s">
        <v>10</v>
      </c>
      <c r="G365" s="5" t="s">
        <v>201</v>
      </c>
      <c r="H365" s="1">
        <f t="shared" si="11"/>
        <v>6000</v>
      </c>
    </row>
    <row r="366" spans="1:8" x14ac:dyDescent="0.3">
      <c r="A366" s="2" t="str">
        <f t="shared" si="10"/>
        <v>Jun-2023</v>
      </c>
      <c r="B366" s="2">
        <v>45104.264843229168</v>
      </c>
      <c r="C366" s="5" t="s">
        <v>26</v>
      </c>
      <c r="D366" s="3">
        <v>3</v>
      </c>
      <c r="E366" s="4">
        <v>150</v>
      </c>
      <c r="F366" s="5" t="s">
        <v>10</v>
      </c>
      <c r="G366" s="5" t="s">
        <v>232</v>
      </c>
      <c r="H366" s="1">
        <f t="shared" si="11"/>
        <v>450</v>
      </c>
    </row>
    <row r="367" spans="1:8" x14ac:dyDescent="0.3">
      <c r="A367" s="2" t="str">
        <f t="shared" si="10"/>
        <v>Jun-2023</v>
      </c>
      <c r="B367" s="2">
        <v>45104.751834560186</v>
      </c>
      <c r="C367" s="5" t="s">
        <v>9</v>
      </c>
      <c r="D367" s="3">
        <v>1</v>
      </c>
      <c r="E367" s="4">
        <v>3500</v>
      </c>
      <c r="F367" s="5" t="s">
        <v>24</v>
      </c>
      <c r="G367" s="5" t="s">
        <v>273</v>
      </c>
      <c r="H367" s="1">
        <f t="shared" si="11"/>
        <v>3500</v>
      </c>
    </row>
    <row r="368" spans="1:8" x14ac:dyDescent="0.3">
      <c r="A368" s="2" t="str">
        <f t="shared" si="10"/>
        <v>Jun-2023</v>
      </c>
      <c r="B368" s="2">
        <v>45105.238825879627</v>
      </c>
      <c r="C368" s="5" t="s">
        <v>12</v>
      </c>
      <c r="D368" s="3">
        <v>1</v>
      </c>
      <c r="E368" s="4">
        <v>150</v>
      </c>
      <c r="F368" s="5" t="s">
        <v>13</v>
      </c>
      <c r="G368" s="5" t="s">
        <v>213</v>
      </c>
      <c r="H368" s="1">
        <f t="shared" si="11"/>
        <v>150</v>
      </c>
    </row>
    <row r="369" spans="1:8" x14ac:dyDescent="0.3">
      <c r="A369" s="2" t="str">
        <f t="shared" si="10"/>
        <v>Jun-2023</v>
      </c>
      <c r="B369" s="2">
        <v>45105.725817210645</v>
      </c>
      <c r="C369" s="5" t="s">
        <v>6</v>
      </c>
      <c r="D369" s="3">
        <v>4</v>
      </c>
      <c r="E369" s="4">
        <v>150</v>
      </c>
      <c r="F369" s="5" t="s">
        <v>7</v>
      </c>
      <c r="G369" s="5" t="s">
        <v>68</v>
      </c>
      <c r="H369" s="1">
        <f t="shared" si="11"/>
        <v>600</v>
      </c>
    </row>
    <row r="370" spans="1:8" x14ac:dyDescent="0.3">
      <c r="A370" s="2" t="str">
        <f t="shared" si="10"/>
        <v>Jun-2023</v>
      </c>
      <c r="B370" s="2">
        <v>45106.21280854167</v>
      </c>
      <c r="C370" s="5" t="s">
        <v>36</v>
      </c>
      <c r="D370" s="3">
        <v>2</v>
      </c>
      <c r="E370" s="4">
        <v>1200</v>
      </c>
      <c r="F370" s="5" t="s">
        <v>10</v>
      </c>
      <c r="G370" s="5" t="s">
        <v>274</v>
      </c>
      <c r="H370" s="1">
        <f t="shared" si="11"/>
        <v>2400</v>
      </c>
    </row>
    <row r="371" spans="1:8" x14ac:dyDescent="0.3">
      <c r="A371" s="2" t="str">
        <f t="shared" si="10"/>
        <v>Jun-2023</v>
      </c>
      <c r="B371" s="2">
        <v>45106.699799861111</v>
      </c>
      <c r="C371" s="5" t="s">
        <v>6</v>
      </c>
      <c r="D371" s="3">
        <v>4</v>
      </c>
      <c r="E371" s="4">
        <v>150</v>
      </c>
      <c r="F371" s="5" t="s">
        <v>24</v>
      </c>
      <c r="G371" s="5" t="s">
        <v>91</v>
      </c>
      <c r="H371" s="1">
        <f t="shared" si="11"/>
        <v>600</v>
      </c>
    </row>
    <row r="372" spans="1:8" x14ac:dyDescent="0.3">
      <c r="A372" s="2" t="str">
        <f t="shared" si="10"/>
        <v>Jun-2023</v>
      </c>
      <c r="B372" s="2">
        <v>45107.186791192129</v>
      </c>
      <c r="C372" s="5" t="s">
        <v>9</v>
      </c>
      <c r="D372" s="3">
        <v>3</v>
      </c>
      <c r="E372" s="4">
        <v>3500</v>
      </c>
      <c r="F372" s="5" t="s">
        <v>10</v>
      </c>
      <c r="G372" s="5" t="s">
        <v>275</v>
      </c>
      <c r="H372" s="1">
        <f t="shared" si="11"/>
        <v>10500</v>
      </c>
    </row>
    <row r="373" spans="1:8" x14ac:dyDescent="0.3">
      <c r="A373" s="2" t="str">
        <f t="shared" si="10"/>
        <v>Jun-2023</v>
      </c>
      <c r="B373" s="2">
        <v>45107.673782523147</v>
      </c>
      <c r="C373" s="5" t="s">
        <v>9</v>
      </c>
      <c r="D373" s="3">
        <v>4</v>
      </c>
      <c r="E373" s="4">
        <v>700</v>
      </c>
      <c r="F373" s="5" t="s">
        <v>24</v>
      </c>
      <c r="G373" s="5" t="s">
        <v>159</v>
      </c>
      <c r="H373" s="1">
        <f t="shared" si="11"/>
        <v>2800</v>
      </c>
    </row>
    <row r="374" spans="1:8" x14ac:dyDescent="0.3">
      <c r="A374" s="2" t="str">
        <f t="shared" si="10"/>
        <v>Jul-2023</v>
      </c>
      <c r="B374" s="2">
        <v>45108.160773854164</v>
      </c>
      <c r="C374" s="5" t="s">
        <v>36</v>
      </c>
      <c r="D374" s="3">
        <v>6</v>
      </c>
      <c r="E374" s="4">
        <v>1800</v>
      </c>
      <c r="F374" s="5" t="s">
        <v>7</v>
      </c>
      <c r="G374" s="5" t="s">
        <v>276</v>
      </c>
      <c r="H374" s="1">
        <f t="shared" si="11"/>
        <v>10800</v>
      </c>
    </row>
    <row r="375" spans="1:8" x14ac:dyDescent="0.3">
      <c r="A375" s="2" t="str">
        <f t="shared" si="10"/>
        <v>Jul-2023</v>
      </c>
      <c r="B375" s="2">
        <v>45108.647765173613</v>
      </c>
      <c r="C375" s="5" t="s">
        <v>12</v>
      </c>
      <c r="D375" s="3">
        <v>1</v>
      </c>
      <c r="E375" s="4">
        <v>700</v>
      </c>
      <c r="F375" s="5" t="s">
        <v>7</v>
      </c>
      <c r="G375" s="5" t="s">
        <v>277</v>
      </c>
      <c r="H375" s="1">
        <f t="shared" si="11"/>
        <v>700</v>
      </c>
    </row>
    <row r="376" spans="1:8" x14ac:dyDescent="0.3">
      <c r="A376" s="2" t="str">
        <f t="shared" si="10"/>
        <v>Jul-2023</v>
      </c>
      <c r="B376" s="2">
        <v>45109.134756504631</v>
      </c>
      <c r="C376" s="5" t="s">
        <v>17</v>
      </c>
      <c r="D376" s="3">
        <v>1</v>
      </c>
      <c r="E376" s="4">
        <v>150</v>
      </c>
      <c r="F376" s="5" t="s">
        <v>13</v>
      </c>
      <c r="G376" s="5" t="s">
        <v>278</v>
      </c>
      <c r="H376" s="1">
        <f t="shared" si="11"/>
        <v>150</v>
      </c>
    </row>
    <row r="377" spans="1:8" x14ac:dyDescent="0.3">
      <c r="A377" s="2" t="str">
        <f t="shared" si="10"/>
        <v>Jul-2023</v>
      </c>
      <c r="B377" s="2">
        <v>45109.621747835648</v>
      </c>
      <c r="C377" s="5" t="s">
        <v>36</v>
      </c>
      <c r="D377" s="3">
        <v>5</v>
      </c>
      <c r="E377" s="4">
        <v>700</v>
      </c>
      <c r="F377" s="5" t="s">
        <v>24</v>
      </c>
      <c r="G377" s="5" t="s">
        <v>201</v>
      </c>
      <c r="H377" s="1">
        <f t="shared" si="11"/>
        <v>3500</v>
      </c>
    </row>
    <row r="378" spans="1:8" x14ac:dyDescent="0.3">
      <c r="A378" s="2" t="str">
        <f t="shared" si="10"/>
        <v>Jul-2023</v>
      </c>
      <c r="B378" s="2">
        <v>45110.10873915509</v>
      </c>
      <c r="C378" s="5" t="s">
        <v>17</v>
      </c>
      <c r="D378" s="3">
        <v>5</v>
      </c>
      <c r="E378" s="4">
        <v>3500</v>
      </c>
      <c r="F378" s="5" t="s">
        <v>24</v>
      </c>
      <c r="G378" s="5" t="s">
        <v>113</v>
      </c>
      <c r="H378" s="1">
        <f t="shared" si="11"/>
        <v>17500</v>
      </c>
    </row>
    <row r="379" spans="1:8" x14ac:dyDescent="0.3">
      <c r="A379" s="2" t="str">
        <f t="shared" si="10"/>
        <v>Jul-2023</v>
      </c>
      <c r="B379" s="2">
        <v>45110.595730486108</v>
      </c>
      <c r="C379" s="5" t="s">
        <v>26</v>
      </c>
      <c r="D379" s="3">
        <v>3</v>
      </c>
      <c r="E379" s="4">
        <v>3500</v>
      </c>
      <c r="F379" s="5" t="s">
        <v>13</v>
      </c>
      <c r="G379" s="5" t="s">
        <v>279</v>
      </c>
      <c r="H379" s="1">
        <f t="shared" si="11"/>
        <v>10500</v>
      </c>
    </row>
    <row r="380" spans="1:8" x14ac:dyDescent="0.3">
      <c r="A380" s="2" t="str">
        <f t="shared" si="10"/>
        <v>Jul-2023</v>
      </c>
      <c r="B380" s="2">
        <v>45111.082721817133</v>
      </c>
      <c r="C380" s="5" t="s">
        <v>17</v>
      </c>
      <c r="D380" s="3">
        <v>6</v>
      </c>
      <c r="E380" s="4">
        <v>150</v>
      </c>
      <c r="F380" s="5" t="s">
        <v>13</v>
      </c>
      <c r="G380" s="5" t="s">
        <v>153</v>
      </c>
      <c r="H380" s="1">
        <f t="shared" si="11"/>
        <v>900</v>
      </c>
    </row>
    <row r="381" spans="1:8" x14ac:dyDescent="0.3">
      <c r="A381" s="2" t="str">
        <f t="shared" si="10"/>
        <v>Jul-2023</v>
      </c>
      <c r="B381" s="2">
        <v>45111.569713136574</v>
      </c>
      <c r="C381" s="5" t="s">
        <v>12</v>
      </c>
      <c r="D381" s="3">
        <v>2</v>
      </c>
      <c r="E381" s="4">
        <v>1200</v>
      </c>
      <c r="F381" s="5" t="s">
        <v>24</v>
      </c>
      <c r="G381" s="5" t="s">
        <v>28</v>
      </c>
      <c r="H381" s="1">
        <f t="shared" si="11"/>
        <v>2400</v>
      </c>
    </row>
    <row r="382" spans="1:8" x14ac:dyDescent="0.3">
      <c r="A382" s="2" t="str">
        <f t="shared" si="10"/>
        <v>Jul-2023</v>
      </c>
      <c r="B382" s="2">
        <v>45112.056704467592</v>
      </c>
      <c r="C382" s="5" t="s">
        <v>26</v>
      </c>
      <c r="D382" s="3">
        <v>4</v>
      </c>
      <c r="E382" s="4">
        <v>700</v>
      </c>
      <c r="F382" s="5" t="s">
        <v>13</v>
      </c>
      <c r="G382" s="5" t="s">
        <v>60</v>
      </c>
      <c r="H382" s="1">
        <f t="shared" si="11"/>
        <v>2800</v>
      </c>
    </row>
    <row r="383" spans="1:8" x14ac:dyDescent="0.3">
      <c r="A383" s="2" t="str">
        <f t="shared" si="10"/>
        <v>Jul-2023</v>
      </c>
      <c r="B383" s="2">
        <v>45112.543695798609</v>
      </c>
      <c r="C383" s="5" t="s">
        <v>17</v>
      </c>
      <c r="D383" s="3">
        <v>3</v>
      </c>
      <c r="E383" s="4">
        <v>1200</v>
      </c>
      <c r="F383" s="5" t="s">
        <v>7</v>
      </c>
      <c r="G383" s="5" t="s">
        <v>273</v>
      </c>
      <c r="H383" s="1">
        <f t="shared" si="11"/>
        <v>3600</v>
      </c>
    </row>
    <row r="384" spans="1:8" x14ac:dyDescent="0.3">
      <c r="A384" s="2" t="str">
        <f t="shared" si="10"/>
        <v>Jul-2023</v>
      </c>
      <c r="B384" s="2">
        <v>45113.030687129627</v>
      </c>
      <c r="C384" s="5" t="s">
        <v>26</v>
      </c>
      <c r="D384" s="3">
        <v>5</v>
      </c>
      <c r="E384" s="4">
        <v>1200</v>
      </c>
      <c r="F384" s="5" t="s">
        <v>10</v>
      </c>
      <c r="G384" s="5" t="s">
        <v>280</v>
      </c>
      <c r="H384" s="1">
        <f t="shared" si="11"/>
        <v>6000</v>
      </c>
    </row>
    <row r="385" spans="1:8" x14ac:dyDescent="0.3">
      <c r="A385" s="2" t="str">
        <f t="shared" si="10"/>
        <v>Jul-2023</v>
      </c>
      <c r="B385" s="2">
        <v>45113.517678449076</v>
      </c>
      <c r="C385" s="5" t="s">
        <v>17</v>
      </c>
      <c r="D385" s="3">
        <v>4</v>
      </c>
      <c r="E385" s="4">
        <v>450</v>
      </c>
      <c r="F385" s="5" t="s">
        <v>7</v>
      </c>
      <c r="G385" s="5" t="s">
        <v>281</v>
      </c>
      <c r="H385" s="1">
        <f t="shared" si="11"/>
        <v>1800</v>
      </c>
    </row>
    <row r="386" spans="1:8" x14ac:dyDescent="0.3">
      <c r="A386" s="2" t="str">
        <f t="shared" si="10"/>
        <v>Jul-2023</v>
      </c>
      <c r="B386" s="2">
        <v>45114.004669780094</v>
      </c>
      <c r="C386" s="5" t="s">
        <v>12</v>
      </c>
      <c r="D386" s="3">
        <v>5</v>
      </c>
      <c r="E386" s="4">
        <v>150</v>
      </c>
      <c r="F386" s="5" t="s">
        <v>13</v>
      </c>
      <c r="G386" s="5" t="s">
        <v>282</v>
      </c>
      <c r="H386" s="1">
        <f t="shared" si="11"/>
        <v>750</v>
      </c>
    </row>
    <row r="387" spans="1:8" x14ac:dyDescent="0.3">
      <c r="A387" s="2" t="str">
        <f t="shared" ref="A387:A450" si="12">TEXT(B387, "mmm-yyyy")</f>
        <v>Jul-2023</v>
      </c>
      <c r="B387" s="2">
        <v>45114.491661111111</v>
      </c>
      <c r="C387" s="5" t="s">
        <v>17</v>
      </c>
      <c r="D387" s="3">
        <v>4</v>
      </c>
      <c r="E387" s="4">
        <v>1800</v>
      </c>
      <c r="F387" s="5" t="s">
        <v>24</v>
      </c>
      <c r="G387" s="5" t="s">
        <v>275</v>
      </c>
      <c r="H387" s="1">
        <f t="shared" ref="H387:H450" si="13" xml:space="preserve"> D387 * E387</f>
        <v>7200</v>
      </c>
    </row>
    <row r="388" spans="1:8" x14ac:dyDescent="0.3">
      <c r="A388" s="2" t="str">
        <f t="shared" si="12"/>
        <v>Jul-2023</v>
      </c>
      <c r="B388" s="2">
        <v>45114.978652430553</v>
      </c>
      <c r="C388" s="5" t="s">
        <v>17</v>
      </c>
      <c r="D388" s="3">
        <v>2</v>
      </c>
      <c r="E388" s="4">
        <v>3500</v>
      </c>
      <c r="F388" s="5" t="s">
        <v>24</v>
      </c>
      <c r="G388" s="5" t="s">
        <v>34</v>
      </c>
      <c r="H388" s="1">
        <f t="shared" si="13"/>
        <v>7000</v>
      </c>
    </row>
    <row r="389" spans="1:8" x14ac:dyDescent="0.3">
      <c r="A389" s="2" t="str">
        <f t="shared" si="12"/>
        <v>Jul-2023</v>
      </c>
      <c r="B389" s="2">
        <v>45115.465643761578</v>
      </c>
      <c r="C389" s="5" t="s">
        <v>17</v>
      </c>
      <c r="D389" s="3">
        <v>3</v>
      </c>
      <c r="E389" s="4">
        <v>3500</v>
      </c>
      <c r="F389" s="5" t="s">
        <v>7</v>
      </c>
      <c r="G389" s="5" t="s">
        <v>28</v>
      </c>
      <c r="H389" s="1">
        <f t="shared" si="13"/>
        <v>10500</v>
      </c>
    </row>
    <row r="390" spans="1:8" x14ac:dyDescent="0.3">
      <c r="A390" s="2" t="str">
        <f t="shared" si="12"/>
        <v>Jul-2023</v>
      </c>
      <c r="B390" s="2">
        <v>45115.952635092595</v>
      </c>
      <c r="C390" s="5" t="s">
        <v>36</v>
      </c>
      <c r="D390" s="3">
        <v>4</v>
      </c>
      <c r="E390" s="4">
        <v>150</v>
      </c>
      <c r="F390" s="5" t="s">
        <v>24</v>
      </c>
      <c r="G390" s="5" t="s">
        <v>116</v>
      </c>
      <c r="H390" s="1">
        <f t="shared" si="13"/>
        <v>600</v>
      </c>
    </row>
    <row r="391" spans="1:8" x14ac:dyDescent="0.3">
      <c r="A391" s="2" t="str">
        <f t="shared" si="12"/>
        <v>Jul-2023</v>
      </c>
      <c r="B391" s="2">
        <v>45116.439626412037</v>
      </c>
      <c r="C391" s="5" t="s">
        <v>36</v>
      </c>
      <c r="D391" s="3">
        <v>6</v>
      </c>
      <c r="E391" s="4">
        <v>1800</v>
      </c>
      <c r="F391" s="5" t="s">
        <v>13</v>
      </c>
      <c r="G391" s="5" t="s">
        <v>187</v>
      </c>
      <c r="H391" s="1">
        <f t="shared" si="13"/>
        <v>10800</v>
      </c>
    </row>
    <row r="392" spans="1:8" x14ac:dyDescent="0.3">
      <c r="A392" s="2" t="str">
        <f t="shared" si="12"/>
        <v>Jul-2023</v>
      </c>
      <c r="B392" s="2">
        <v>45116.926617743055</v>
      </c>
      <c r="C392" s="5" t="s">
        <v>36</v>
      </c>
      <c r="D392" s="3">
        <v>1</v>
      </c>
      <c r="E392" s="4">
        <v>3500</v>
      </c>
      <c r="F392" s="5" t="s">
        <v>7</v>
      </c>
      <c r="G392" s="5" t="s">
        <v>283</v>
      </c>
      <c r="H392" s="1">
        <f t="shared" si="13"/>
        <v>3500</v>
      </c>
    </row>
    <row r="393" spans="1:8" x14ac:dyDescent="0.3">
      <c r="A393" s="2" t="str">
        <f t="shared" si="12"/>
        <v>Jul-2023</v>
      </c>
      <c r="B393" s="2">
        <v>45117.413609074072</v>
      </c>
      <c r="C393" s="5" t="s">
        <v>12</v>
      </c>
      <c r="D393" s="3">
        <v>6</v>
      </c>
      <c r="E393" s="4">
        <v>150</v>
      </c>
      <c r="F393" s="5" t="s">
        <v>24</v>
      </c>
      <c r="G393" s="5" t="s">
        <v>284</v>
      </c>
      <c r="H393" s="1">
        <f t="shared" si="13"/>
        <v>900</v>
      </c>
    </row>
    <row r="394" spans="1:8" x14ac:dyDescent="0.3">
      <c r="A394" s="2" t="str">
        <f t="shared" si="12"/>
        <v>Jul-2023</v>
      </c>
      <c r="B394" s="2">
        <v>45117.90060040509</v>
      </c>
      <c r="C394" s="5" t="s">
        <v>26</v>
      </c>
      <c r="D394" s="3">
        <v>6</v>
      </c>
      <c r="E394" s="4">
        <v>3500</v>
      </c>
      <c r="F394" s="5" t="s">
        <v>10</v>
      </c>
      <c r="G394" s="5" t="s">
        <v>110</v>
      </c>
      <c r="H394" s="1">
        <f t="shared" si="13"/>
        <v>21000</v>
      </c>
    </row>
    <row r="395" spans="1:8" x14ac:dyDescent="0.3">
      <c r="A395" s="2" t="str">
        <f t="shared" si="12"/>
        <v>Jul-2023</v>
      </c>
      <c r="B395" s="2">
        <v>45118.387591724539</v>
      </c>
      <c r="C395" s="5" t="s">
        <v>9</v>
      </c>
      <c r="D395" s="3">
        <v>1</v>
      </c>
      <c r="E395" s="4">
        <v>1200</v>
      </c>
      <c r="F395" s="5" t="s">
        <v>10</v>
      </c>
      <c r="G395" s="5" t="s">
        <v>225</v>
      </c>
      <c r="H395" s="1">
        <f t="shared" si="13"/>
        <v>1200</v>
      </c>
    </row>
    <row r="396" spans="1:8" x14ac:dyDescent="0.3">
      <c r="A396" s="2" t="str">
        <f t="shared" si="12"/>
        <v>Jul-2023</v>
      </c>
      <c r="B396" s="2">
        <v>45118.874583055556</v>
      </c>
      <c r="C396" s="5" t="s">
        <v>17</v>
      </c>
      <c r="D396" s="3">
        <v>6</v>
      </c>
      <c r="E396" s="4">
        <v>700</v>
      </c>
      <c r="F396" s="5" t="s">
        <v>13</v>
      </c>
      <c r="G396" s="5" t="s">
        <v>96</v>
      </c>
      <c r="H396" s="1">
        <f t="shared" si="13"/>
        <v>4200</v>
      </c>
    </row>
    <row r="397" spans="1:8" x14ac:dyDescent="0.3">
      <c r="A397" s="2" t="str">
        <f t="shared" si="12"/>
        <v>Jul-2023</v>
      </c>
      <c r="B397" s="2">
        <v>45119.361574386574</v>
      </c>
      <c r="C397" s="5" t="s">
        <v>17</v>
      </c>
      <c r="D397" s="3">
        <v>4</v>
      </c>
      <c r="E397" s="4">
        <v>700</v>
      </c>
      <c r="F397" s="5" t="s">
        <v>24</v>
      </c>
      <c r="G397" s="5" t="s">
        <v>234</v>
      </c>
      <c r="H397" s="1">
        <f t="shared" si="13"/>
        <v>2800</v>
      </c>
    </row>
    <row r="398" spans="1:8" x14ac:dyDescent="0.3">
      <c r="A398" s="2" t="str">
        <f t="shared" si="12"/>
        <v>Jul-2023</v>
      </c>
      <c r="B398" s="2">
        <v>45119.848565706016</v>
      </c>
      <c r="C398" s="5" t="s">
        <v>12</v>
      </c>
      <c r="D398" s="3">
        <v>4</v>
      </c>
      <c r="E398" s="4">
        <v>3500</v>
      </c>
      <c r="F398" s="5" t="s">
        <v>13</v>
      </c>
      <c r="G398" s="5" t="s">
        <v>285</v>
      </c>
      <c r="H398" s="1">
        <f t="shared" si="13"/>
        <v>14000</v>
      </c>
    </row>
    <row r="399" spans="1:8" x14ac:dyDescent="0.3">
      <c r="A399" s="2" t="str">
        <f t="shared" si="12"/>
        <v>Jul-2023</v>
      </c>
      <c r="B399" s="2">
        <v>45120.33555703704</v>
      </c>
      <c r="C399" s="5" t="s">
        <v>17</v>
      </c>
      <c r="D399" s="3">
        <v>4</v>
      </c>
      <c r="E399" s="4">
        <v>450</v>
      </c>
      <c r="F399" s="5" t="s">
        <v>7</v>
      </c>
      <c r="G399" s="5" t="s">
        <v>177</v>
      </c>
      <c r="H399" s="1">
        <f t="shared" si="13"/>
        <v>1800</v>
      </c>
    </row>
    <row r="400" spans="1:8" x14ac:dyDescent="0.3">
      <c r="A400" s="2" t="str">
        <f t="shared" si="12"/>
        <v>Jul-2023</v>
      </c>
      <c r="B400" s="2">
        <v>45120.822548368058</v>
      </c>
      <c r="C400" s="5" t="s">
        <v>36</v>
      </c>
      <c r="D400" s="3">
        <v>1</v>
      </c>
      <c r="E400" s="4">
        <v>1800</v>
      </c>
      <c r="F400" s="5" t="s">
        <v>10</v>
      </c>
      <c r="G400" s="5" t="s">
        <v>286</v>
      </c>
      <c r="H400" s="1">
        <f t="shared" si="13"/>
        <v>1800</v>
      </c>
    </row>
    <row r="401" spans="1:8" x14ac:dyDescent="0.3">
      <c r="A401" s="2" t="str">
        <f t="shared" si="12"/>
        <v>Jul-2023</v>
      </c>
      <c r="B401" s="2">
        <v>45121.3095396875</v>
      </c>
      <c r="C401" s="5" t="s">
        <v>9</v>
      </c>
      <c r="D401" s="3">
        <v>6</v>
      </c>
      <c r="E401" s="4">
        <v>1800</v>
      </c>
      <c r="F401" s="5" t="s">
        <v>7</v>
      </c>
      <c r="G401" s="5" t="s">
        <v>287</v>
      </c>
      <c r="H401" s="1">
        <f t="shared" si="13"/>
        <v>10800</v>
      </c>
    </row>
    <row r="402" spans="1:8" x14ac:dyDescent="0.3">
      <c r="A402" s="2" t="str">
        <f t="shared" si="12"/>
        <v>Jul-2023</v>
      </c>
      <c r="B402" s="2">
        <v>45121.796531018517</v>
      </c>
      <c r="C402" s="5" t="s">
        <v>6</v>
      </c>
      <c r="D402" s="3">
        <v>1</v>
      </c>
      <c r="E402" s="4">
        <v>1800</v>
      </c>
      <c r="F402" s="5" t="s">
        <v>24</v>
      </c>
      <c r="G402" s="5" t="s">
        <v>288</v>
      </c>
      <c r="H402" s="1">
        <f t="shared" si="13"/>
        <v>1800</v>
      </c>
    </row>
    <row r="403" spans="1:8" x14ac:dyDescent="0.3">
      <c r="A403" s="2" t="str">
        <f t="shared" si="12"/>
        <v>Jul-2023</v>
      </c>
      <c r="B403" s="2">
        <v>45122.283522349535</v>
      </c>
      <c r="C403" s="5" t="s">
        <v>17</v>
      </c>
      <c r="D403" s="3">
        <v>4</v>
      </c>
      <c r="E403" s="4">
        <v>1200</v>
      </c>
      <c r="F403" s="5" t="s">
        <v>13</v>
      </c>
      <c r="G403" s="5" t="s">
        <v>84</v>
      </c>
      <c r="H403" s="1">
        <f t="shared" si="13"/>
        <v>4800</v>
      </c>
    </row>
    <row r="404" spans="1:8" x14ac:dyDescent="0.3">
      <c r="A404" s="2" t="str">
        <f t="shared" si="12"/>
        <v>Jul-2023</v>
      </c>
      <c r="B404" s="2">
        <v>45122.770513680553</v>
      </c>
      <c r="C404" s="5" t="s">
        <v>36</v>
      </c>
      <c r="D404" s="3">
        <v>6</v>
      </c>
      <c r="E404" s="4">
        <v>1800</v>
      </c>
      <c r="F404" s="5" t="s">
        <v>13</v>
      </c>
      <c r="G404" s="5" t="s">
        <v>163</v>
      </c>
      <c r="H404" s="1">
        <f t="shared" si="13"/>
        <v>10800</v>
      </c>
    </row>
    <row r="405" spans="1:8" x14ac:dyDescent="0.3">
      <c r="A405" s="2" t="str">
        <f t="shared" si="12"/>
        <v>Jul-2023</v>
      </c>
      <c r="B405" s="2">
        <v>45123.257505000001</v>
      </c>
      <c r="C405" s="5" t="s">
        <v>6</v>
      </c>
      <c r="D405" s="3">
        <v>6</v>
      </c>
      <c r="E405" s="4">
        <v>700</v>
      </c>
      <c r="F405" s="5" t="s">
        <v>13</v>
      </c>
      <c r="G405" s="5" t="s">
        <v>147</v>
      </c>
      <c r="H405" s="1">
        <f t="shared" si="13"/>
        <v>4200</v>
      </c>
    </row>
    <row r="406" spans="1:8" x14ac:dyDescent="0.3">
      <c r="A406" s="2" t="str">
        <f t="shared" si="12"/>
        <v>Jul-2023</v>
      </c>
      <c r="B406" s="2">
        <v>45123.744496331019</v>
      </c>
      <c r="C406" s="5" t="s">
        <v>9</v>
      </c>
      <c r="D406" s="3">
        <v>5</v>
      </c>
      <c r="E406" s="4">
        <v>1200</v>
      </c>
      <c r="F406" s="5" t="s">
        <v>7</v>
      </c>
      <c r="G406" s="5" t="s">
        <v>289</v>
      </c>
      <c r="H406" s="1">
        <f t="shared" si="13"/>
        <v>6000</v>
      </c>
    </row>
    <row r="407" spans="1:8" x14ac:dyDescent="0.3">
      <c r="A407" s="2" t="str">
        <f t="shared" si="12"/>
        <v>Jul-2023</v>
      </c>
      <c r="B407" s="2">
        <v>45124.231487662037</v>
      </c>
      <c r="C407" s="5" t="s">
        <v>6</v>
      </c>
      <c r="D407" s="3">
        <v>5</v>
      </c>
      <c r="E407" s="4">
        <v>150</v>
      </c>
      <c r="F407" s="5" t="s">
        <v>10</v>
      </c>
      <c r="G407" s="5" t="s">
        <v>290</v>
      </c>
      <c r="H407" s="1">
        <f t="shared" si="13"/>
        <v>750</v>
      </c>
    </row>
    <row r="408" spans="1:8" x14ac:dyDescent="0.3">
      <c r="A408" s="2" t="str">
        <f t="shared" si="12"/>
        <v>Jul-2023</v>
      </c>
      <c r="B408" s="2">
        <v>45124.718478981478</v>
      </c>
      <c r="C408" s="5" t="s">
        <v>36</v>
      </c>
      <c r="D408" s="3">
        <v>2</v>
      </c>
      <c r="E408" s="4">
        <v>1800</v>
      </c>
      <c r="F408" s="5" t="s">
        <v>7</v>
      </c>
      <c r="G408" s="5" t="s">
        <v>53</v>
      </c>
      <c r="H408" s="1">
        <f t="shared" si="13"/>
        <v>3600</v>
      </c>
    </row>
    <row r="409" spans="1:8" x14ac:dyDescent="0.3">
      <c r="A409" s="2" t="str">
        <f t="shared" si="12"/>
        <v>Jul-2023</v>
      </c>
      <c r="B409" s="2">
        <v>45125.205470312503</v>
      </c>
      <c r="C409" s="5" t="s">
        <v>26</v>
      </c>
      <c r="D409" s="3">
        <v>3</v>
      </c>
      <c r="E409" s="4">
        <v>1800</v>
      </c>
      <c r="F409" s="5" t="s">
        <v>7</v>
      </c>
      <c r="G409" s="5" t="s">
        <v>291</v>
      </c>
      <c r="H409" s="1">
        <f t="shared" si="13"/>
        <v>5400</v>
      </c>
    </row>
    <row r="410" spans="1:8" x14ac:dyDescent="0.3">
      <c r="A410" s="2" t="str">
        <f t="shared" si="12"/>
        <v>Jul-2023</v>
      </c>
      <c r="B410" s="2">
        <v>45125.692461643521</v>
      </c>
      <c r="C410" s="5" t="s">
        <v>26</v>
      </c>
      <c r="D410" s="3">
        <v>5</v>
      </c>
      <c r="E410" s="4">
        <v>150</v>
      </c>
      <c r="F410" s="5" t="s">
        <v>24</v>
      </c>
      <c r="G410" s="5" t="s">
        <v>292</v>
      </c>
      <c r="H410" s="1">
        <f t="shared" si="13"/>
        <v>750</v>
      </c>
    </row>
    <row r="411" spans="1:8" x14ac:dyDescent="0.3">
      <c r="A411" s="2" t="str">
        <f t="shared" si="12"/>
        <v>Jul-2023</v>
      </c>
      <c r="B411" s="2">
        <v>45126.179452962962</v>
      </c>
      <c r="C411" s="5" t="s">
        <v>6</v>
      </c>
      <c r="D411" s="3">
        <v>1</v>
      </c>
      <c r="E411" s="4">
        <v>1800</v>
      </c>
      <c r="F411" s="5" t="s">
        <v>24</v>
      </c>
      <c r="G411" s="5" t="s">
        <v>293</v>
      </c>
      <c r="H411" s="1">
        <f t="shared" si="13"/>
        <v>1800</v>
      </c>
    </row>
    <row r="412" spans="1:8" x14ac:dyDescent="0.3">
      <c r="A412" s="2" t="str">
        <f t="shared" si="12"/>
        <v>Jul-2023</v>
      </c>
      <c r="B412" s="2">
        <v>45126.66644429398</v>
      </c>
      <c r="C412" s="5" t="s">
        <v>12</v>
      </c>
      <c r="D412" s="3">
        <v>5</v>
      </c>
      <c r="E412" s="4">
        <v>150</v>
      </c>
      <c r="F412" s="5" t="s">
        <v>24</v>
      </c>
      <c r="G412" s="5" t="s">
        <v>42</v>
      </c>
      <c r="H412" s="1">
        <f t="shared" si="13"/>
        <v>750</v>
      </c>
    </row>
    <row r="413" spans="1:8" x14ac:dyDescent="0.3">
      <c r="A413" s="2" t="str">
        <f t="shared" si="12"/>
        <v>Jul-2023</v>
      </c>
      <c r="B413" s="2">
        <v>45127.153435624998</v>
      </c>
      <c r="C413" s="5" t="s">
        <v>6</v>
      </c>
      <c r="D413" s="3">
        <v>2</v>
      </c>
      <c r="E413" s="4">
        <v>1200</v>
      </c>
      <c r="F413" s="5" t="s">
        <v>10</v>
      </c>
      <c r="G413" s="5" t="s">
        <v>81</v>
      </c>
      <c r="H413" s="1">
        <f t="shared" si="13"/>
        <v>2400</v>
      </c>
    </row>
    <row r="414" spans="1:8" x14ac:dyDescent="0.3">
      <c r="A414" s="2" t="str">
        <f t="shared" si="12"/>
        <v>Jul-2023</v>
      </c>
      <c r="B414" s="2">
        <v>45127.640426956015</v>
      </c>
      <c r="C414" s="5" t="s">
        <v>17</v>
      </c>
      <c r="D414" s="3">
        <v>6</v>
      </c>
      <c r="E414" s="4">
        <v>700</v>
      </c>
      <c r="F414" s="5" t="s">
        <v>10</v>
      </c>
      <c r="G414" s="5" t="s">
        <v>294</v>
      </c>
      <c r="H414" s="1">
        <f t="shared" si="13"/>
        <v>4200</v>
      </c>
    </row>
    <row r="415" spans="1:8" x14ac:dyDescent="0.3">
      <c r="A415" s="2" t="str">
        <f t="shared" si="12"/>
        <v>Jul-2023</v>
      </c>
      <c r="B415" s="2">
        <v>45128.127418275464</v>
      </c>
      <c r="C415" s="5" t="s">
        <v>17</v>
      </c>
      <c r="D415" s="3">
        <v>2</v>
      </c>
      <c r="E415" s="4">
        <v>150</v>
      </c>
      <c r="F415" s="5" t="s">
        <v>24</v>
      </c>
      <c r="G415" s="5" t="s">
        <v>295</v>
      </c>
      <c r="H415" s="1">
        <f t="shared" si="13"/>
        <v>300</v>
      </c>
    </row>
    <row r="416" spans="1:8" x14ac:dyDescent="0.3">
      <c r="A416" s="2" t="str">
        <f t="shared" si="12"/>
        <v>Jul-2023</v>
      </c>
      <c r="B416" s="2">
        <v>45128.614409606482</v>
      </c>
      <c r="C416" s="5" t="s">
        <v>26</v>
      </c>
      <c r="D416" s="3">
        <v>6</v>
      </c>
      <c r="E416" s="4">
        <v>450</v>
      </c>
      <c r="F416" s="5" t="s">
        <v>24</v>
      </c>
      <c r="G416" s="5" t="s">
        <v>118</v>
      </c>
      <c r="H416" s="1">
        <f t="shared" si="13"/>
        <v>2700</v>
      </c>
    </row>
    <row r="417" spans="1:8" x14ac:dyDescent="0.3">
      <c r="A417" s="2" t="str">
        <f t="shared" si="12"/>
        <v>Jul-2023</v>
      </c>
      <c r="B417" s="2">
        <v>45129.101400937499</v>
      </c>
      <c r="C417" s="5" t="s">
        <v>12</v>
      </c>
      <c r="D417" s="3">
        <v>6</v>
      </c>
      <c r="E417" s="4">
        <v>150</v>
      </c>
      <c r="F417" s="5" t="s">
        <v>10</v>
      </c>
      <c r="G417" s="5" t="s">
        <v>67</v>
      </c>
      <c r="H417" s="1">
        <f t="shared" si="13"/>
        <v>900</v>
      </c>
    </row>
    <row r="418" spans="1:8" x14ac:dyDescent="0.3">
      <c r="A418" s="2" t="str">
        <f t="shared" si="12"/>
        <v>Jul-2023</v>
      </c>
      <c r="B418" s="2">
        <v>45129.588392256941</v>
      </c>
      <c r="C418" s="5" t="s">
        <v>36</v>
      </c>
      <c r="D418" s="3">
        <v>3</v>
      </c>
      <c r="E418" s="4">
        <v>1800</v>
      </c>
      <c r="F418" s="5" t="s">
        <v>13</v>
      </c>
      <c r="G418" s="5" t="s">
        <v>290</v>
      </c>
      <c r="H418" s="1">
        <f t="shared" si="13"/>
        <v>5400</v>
      </c>
    </row>
    <row r="419" spans="1:8" x14ac:dyDescent="0.3">
      <c r="A419" s="2" t="str">
        <f t="shared" si="12"/>
        <v>Jul-2023</v>
      </c>
      <c r="B419" s="2">
        <v>45130.075383587966</v>
      </c>
      <c r="C419" s="5" t="s">
        <v>17</v>
      </c>
      <c r="D419" s="3">
        <v>5</v>
      </c>
      <c r="E419" s="4">
        <v>1200</v>
      </c>
      <c r="F419" s="5" t="s">
        <v>10</v>
      </c>
      <c r="G419" s="5" t="s">
        <v>296</v>
      </c>
      <c r="H419" s="1">
        <f t="shared" si="13"/>
        <v>6000</v>
      </c>
    </row>
    <row r="420" spans="1:8" x14ac:dyDescent="0.3">
      <c r="A420" s="2" t="str">
        <f t="shared" si="12"/>
        <v>Jul-2023</v>
      </c>
      <c r="B420" s="2">
        <v>45130.562374918984</v>
      </c>
      <c r="C420" s="5" t="s">
        <v>26</v>
      </c>
      <c r="D420" s="3">
        <v>1</v>
      </c>
      <c r="E420" s="4">
        <v>3500</v>
      </c>
      <c r="F420" s="5" t="s">
        <v>10</v>
      </c>
      <c r="G420" s="5" t="s">
        <v>297</v>
      </c>
      <c r="H420" s="1">
        <f t="shared" si="13"/>
        <v>3500</v>
      </c>
    </row>
    <row r="421" spans="1:8" x14ac:dyDescent="0.3">
      <c r="A421" s="2" t="str">
        <f t="shared" si="12"/>
        <v>Jul-2023</v>
      </c>
      <c r="B421" s="2">
        <v>45131.049366238425</v>
      </c>
      <c r="C421" s="5" t="s">
        <v>9</v>
      </c>
      <c r="D421" s="3">
        <v>1</v>
      </c>
      <c r="E421" s="4">
        <v>1200</v>
      </c>
      <c r="F421" s="5" t="s">
        <v>10</v>
      </c>
      <c r="G421" s="5" t="s">
        <v>298</v>
      </c>
      <c r="H421" s="1">
        <f t="shared" si="13"/>
        <v>1200</v>
      </c>
    </row>
    <row r="422" spans="1:8" x14ac:dyDescent="0.3">
      <c r="A422" s="2" t="str">
        <f t="shared" si="12"/>
        <v>Jul-2023</v>
      </c>
      <c r="B422" s="2">
        <v>45131.536357569443</v>
      </c>
      <c r="C422" s="5" t="s">
        <v>26</v>
      </c>
      <c r="D422" s="3">
        <v>4</v>
      </c>
      <c r="E422" s="4">
        <v>3500</v>
      </c>
      <c r="F422" s="5" t="s">
        <v>24</v>
      </c>
      <c r="G422" s="5" t="s">
        <v>277</v>
      </c>
      <c r="H422" s="1">
        <f t="shared" si="13"/>
        <v>14000</v>
      </c>
    </row>
    <row r="423" spans="1:8" x14ac:dyDescent="0.3">
      <c r="A423" s="2" t="str">
        <f t="shared" si="12"/>
        <v>Jul-2023</v>
      </c>
      <c r="B423" s="2">
        <v>45132.02334890046</v>
      </c>
      <c r="C423" s="5" t="s">
        <v>17</v>
      </c>
      <c r="D423" s="3">
        <v>6</v>
      </c>
      <c r="E423" s="4">
        <v>150</v>
      </c>
      <c r="F423" s="5" t="s">
        <v>13</v>
      </c>
      <c r="G423" s="5" t="s">
        <v>299</v>
      </c>
      <c r="H423" s="1">
        <f t="shared" si="13"/>
        <v>900</v>
      </c>
    </row>
    <row r="424" spans="1:8" x14ac:dyDescent="0.3">
      <c r="A424" s="2" t="str">
        <f t="shared" si="12"/>
        <v>Jul-2023</v>
      </c>
      <c r="B424" s="2">
        <v>45132.510340231478</v>
      </c>
      <c r="C424" s="5" t="s">
        <v>17</v>
      </c>
      <c r="D424" s="3">
        <v>1</v>
      </c>
      <c r="E424" s="4">
        <v>700</v>
      </c>
      <c r="F424" s="5" t="s">
        <v>10</v>
      </c>
      <c r="G424" s="5" t="s">
        <v>256</v>
      </c>
      <c r="H424" s="1">
        <f t="shared" si="13"/>
        <v>700</v>
      </c>
    </row>
    <row r="425" spans="1:8" x14ac:dyDescent="0.3">
      <c r="A425" s="2" t="str">
        <f t="shared" si="12"/>
        <v>Jul-2023</v>
      </c>
      <c r="B425" s="2">
        <v>45132.997331550927</v>
      </c>
      <c r="C425" s="5" t="s">
        <v>26</v>
      </c>
      <c r="D425" s="3">
        <v>3</v>
      </c>
      <c r="E425" s="4">
        <v>450</v>
      </c>
      <c r="F425" s="5" t="s">
        <v>24</v>
      </c>
      <c r="G425" s="5" t="s">
        <v>73</v>
      </c>
      <c r="H425" s="1">
        <f t="shared" si="13"/>
        <v>1350</v>
      </c>
    </row>
    <row r="426" spans="1:8" x14ac:dyDescent="0.3">
      <c r="A426" s="2" t="str">
        <f t="shared" si="12"/>
        <v>Jul-2023</v>
      </c>
      <c r="B426" s="2">
        <v>45133.484322881945</v>
      </c>
      <c r="C426" s="5" t="s">
        <v>36</v>
      </c>
      <c r="D426" s="3">
        <v>6</v>
      </c>
      <c r="E426" s="4">
        <v>1200</v>
      </c>
      <c r="F426" s="5" t="s">
        <v>7</v>
      </c>
      <c r="G426" s="5" t="s">
        <v>300</v>
      </c>
      <c r="H426" s="1">
        <f t="shared" si="13"/>
        <v>7200</v>
      </c>
    </row>
    <row r="427" spans="1:8" x14ac:dyDescent="0.3">
      <c r="A427" s="2" t="str">
        <f t="shared" si="12"/>
        <v>Jul-2023</v>
      </c>
      <c r="B427" s="2">
        <v>45133.971314212962</v>
      </c>
      <c r="C427" s="5" t="s">
        <v>6</v>
      </c>
      <c r="D427" s="3">
        <v>3</v>
      </c>
      <c r="E427" s="4">
        <v>1800</v>
      </c>
      <c r="F427" s="5" t="s">
        <v>7</v>
      </c>
      <c r="G427" s="5" t="s">
        <v>301</v>
      </c>
      <c r="H427" s="1">
        <f t="shared" si="13"/>
        <v>5400</v>
      </c>
    </row>
    <row r="428" spans="1:8" x14ac:dyDescent="0.3">
      <c r="A428" s="2" t="str">
        <f t="shared" si="12"/>
        <v>Jul-2023</v>
      </c>
      <c r="B428" s="2">
        <v>45134.458305532411</v>
      </c>
      <c r="C428" s="5" t="s">
        <v>17</v>
      </c>
      <c r="D428" s="3">
        <v>1</v>
      </c>
      <c r="E428" s="4">
        <v>3500</v>
      </c>
      <c r="F428" s="5" t="s">
        <v>10</v>
      </c>
      <c r="G428" s="5" t="s">
        <v>100</v>
      </c>
      <c r="H428" s="1">
        <f t="shared" si="13"/>
        <v>3500</v>
      </c>
    </row>
    <row r="429" spans="1:8" x14ac:dyDescent="0.3">
      <c r="A429" s="2" t="str">
        <f t="shared" si="12"/>
        <v>Jul-2023</v>
      </c>
      <c r="B429" s="2">
        <v>45134.945296863429</v>
      </c>
      <c r="C429" s="5" t="s">
        <v>26</v>
      </c>
      <c r="D429" s="3">
        <v>1</v>
      </c>
      <c r="E429" s="4">
        <v>1800</v>
      </c>
      <c r="F429" s="5" t="s">
        <v>7</v>
      </c>
      <c r="G429" s="5" t="s">
        <v>302</v>
      </c>
      <c r="H429" s="1">
        <f t="shared" si="13"/>
        <v>1800</v>
      </c>
    </row>
    <row r="430" spans="1:8" x14ac:dyDescent="0.3">
      <c r="A430" s="2" t="str">
        <f t="shared" si="12"/>
        <v>Jul-2023</v>
      </c>
      <c r="B430" s="2">
        <v>45135.432288194446</v>
      </c>
      <c r="C430" s="5" t="s">
        <v>26</v>
      </c>
      <c r="D430" s="3">
        <v>4</v>
      </c>
      <c r="E430" s="4">
        <v>700</v>
      </c>
      <c r="F430" s="5" t="s">
        <v>13</v>
      </c>
      <c r="G430" s="5" t="s">
        <v>303</v>
      </c>
      <c r="H430" s="1">
        <f t="shared" si="13"/>
        <v>2800</v>
      </c>
    </row>
    <row r="431" spans="1:8" x14ac:dyDescent="0.3">
      <c r="A431" s="2" t="str">
        <f t="shared" si="12"/>
        <v>Jul-2023</v>
      </c>
      <c r="B431" s="2">
        <v>45135.919279525464</v>
      </c>
      <c r="C431" s="5" t="s">
        <v>12</v>
      </c>
      <c r="D431" s="3">
        <v>1</v>
      </c>
      <c r="E431" s="4">
        <v>3500</v>
      </c>
      <c r="F431" s="5" t="s">
        <v>7</v>
      </c>
      <c r="G431" s="5" t="s">
        <v>146</v>
      </c>
      <c r="H431" s="1">
        <f t="shared" si="13"/>
        <v>3500</v>
      </c>
    </row>
    <row r="432" spans="1:8" x14ac:dyDescent="0.3">
      <c r="A432" s="2" t="str">
        <f t="shared" si="12"/>
        <v>Jul-2023</v>
      </c>
      <c r="B432" s="2">
        <v>45136.406270844906</v>
      </c>
      <c r="C432" s="5" t="s">
        <v>6</v>
      </c>
      <c r="D432" s="3">
        <v>6</v>
      </c>
      <c r="E432" s="4">
        <v>1200</v>
      </c>
      <c r="F432" s="5" t="s">
        <v>7</v>
      </c>
      <c r="G432" s="5" t="s">
        <v>304</v>
      </c>
      <c r="H432" s="1">
        <f t="shared" si="13"/>
        <v>7200</v>
      </c>
    </row>
    <row r="433" spans="1:8" x14ac:dyDescent="0.3">
      <c r="A433" s="2" t="str">
        <f t="shared" si="12"/>
        <v>Jul-2023</v>
      </c>
      <c r="B433" s="2">
        <v>45136.893262175923</v>
      </c>
      <c r="C433" s="5" t="s">
        <v>9</v>
      </c>
      <c r="D433" s="3">
        <v>6</v>
      </c>
      <c r="E433" s="4">
        <v>150</v>
      </c>
      <c r="F433" s="5" t="s">
        <v>13</v>
      </c>
      <c r="G433" s="5" t="s">
        <v>305</v>
      </c>
      <c r="H433" s="1">
        <f t="shared" si="13"/>
        <v>900</v>
      </c>
    </row>
    <row r="434" spans="1:8" x14ac:dyDescent="0.3">
      <c r="A434" s="2" t="str">
        <f t="shared" si="12"/>
        <v>Jul-2023</v>
      </c>
      <c r="B434" s="2">
        <v>45137.380253506948</v>
      </c>
      <c r="C434" s="5" t="s">
        <v>36</v>
      </c>
      <c r="D434" s="3">
        <v>6</v>
      </c>
      <c r="E434" s="4">
        <v>1800</v>
      </c>
      <c r="F434" s="5" t="s">
        <v>10</v>
      </c>
      <c r="G434" s="5" t="s">
        <v>306</v>
      </c>
      <c r="H434" s="1">
        <f t="shared" si="13"/>
        <v>10800</v>
      </c>
    </row>
    <row r="435" spans="1:8" x14ac:dyDescent="0.3">
      <c r="A435" s="2" t="str">
        <f t="shared" si="12"/>
        <v>Jul-2023</v>
      </c>
      <c r="B435" s="2">
        <v>45137.86724482639</v>
      </c>
      <c r="C435" s="5" t="s">
        <v>9</v>
      </c>
      <c r="D435" s="3">
        <v>4</v>
      </c>
      <c r="E435" s="4">
        <v>700</v>
      </c>
      <c r="F435" s="5" t="s">
        <v>10</v>
      </c>
      <c r="G435" s="5" t="s">
        <v>46</v>
      </c>
      <c r="H435" s="1">
        <f t="shared" si="13"/>
        <v>2800</v>
      </c>
    </row>
    <row r="436" spans="1:8" x14ac:dyDescent="0.3">
      <c r="A436" s="2" t="str">
        <f t="shared" si="12"/>
        <v>Jul-2023</v>
      </c>
      <c r="B436" s="2">
        <v>45138.354236157407</v>
      </c>
      <c r="C436" s="5" t="s">
        <v>6</v>
      </c>
      <c r="D436" s="3">
        <v>4</v>
      </c>
      <c r="E436" s="4">
        <v>1200</v>
      </c>
      <c r="F436" s="5" t="s">
        <v>13</v>
      </c>
      <c r="G436" s="5" t="s">
        <v>307</v>
      </c>
      <c r="H436" s="1">
        <f t="shared" si="13"/>
        <v>4800</v>
      </c>
    </row>
    <row r="437" spans="1:8" x14ac:dyDescent="0.3">
      <c r="A437" s="2" t="str">
        <f t="shared" si="12"/>
        <v>Jul-2023</v>
      </c>
      <c r="B437" s="2">
        <v>45138.841227488425</v>
      </c>
      <c r="C437" s="5" t="s">
        <v>6</v>
      </c>
      <c r="D437" s="3">
        <v>1</v>
      </c>
      <c r="E437" s="4">
        <v>1200</v>
      </c>
      <c r="F437" s="5" t="s">
        <v>13</v>
      </c>
      <c r="G437" s="5" t="s">
        <v>84</v>
      </c>
      <c r="H437" s="1">
        <f t="shared" si="13"/>
        <v>1200</v>
      </c>
    </row>
    <row r="438" spans="1:8" x14ac:dyDescent="0.3">
      <c r="A438" s="2" t="str">
        <f t="shared" si="12"/>
        <v>Aug-2023</v>
      </c>
      <c r="B438" s="2">
        <v>45139.328218807874</v>
      </c>
      <c r="C438" s="5" t="s">
        <v>6</v>
      </c>
      <c r="D438" s="3">
        <v>2</v>
      </c>
      <c r="E438" s="4">
        <v>1200</v>
      </c>
      <c r="F438" s="5" t="s">
        <v>13</v>
      </c>
      <c r="G438" s="5" t="s">
        <v>162</v>
      </c>
      <c r="H438" s="1">
        <f t="shared" si="13"/>
        <v>2400</v>
      </c>
    </row>
    <row r="439" spans="1:8" x14ac:dyDescent="0.3">
      <c r="A439" s="2" t="str">
        <f t="shared" si="12"/>
        <v>Aug-2023</v>
      </c>
      <c r="B439" s="2">
        <v>45139.815210138891</v>
      </c>
      <c r="C439" s="5" t="s">
        <v>9</v>
      </c>
      <c r="D439" s="3">
        <v>2</v>
      </c>
      <c r="E439" s="4">
        <v>1200</v>
      </c>
      <c r="F439" s="5" t="s">
        <v>7</v>
      </c>
      <c r="G439" s="5" t="s">
        <v>47</v>
      </c>
      <c r="H439" s="1">
        <f t="shared" si="13"/>
        <v>2400</v>
      </c>
    </row>
    <row r="440" spans="1:8" x14ac:dyDescent="0.3">
      <c r="A440" s="2" t="str">
        <f t="shared" si="12"/>
        <v>Aug-2023</v>
      </c>
      <c r="B440" s="2">
        <v>45140.302201469909</v>
      </c>
      <c r="C440" s="5" t="s">
        <v>6</v>
      </c>
      <c r="D440" s="3">
        <v>4</v>
      </c>
      <c r="E440" s="4">
        <v>3500</v>
      </c>
      <c r="F440" s="5" t="s">
        <v>13</v>
      </c>
      <c r="G440" s="5" t="s">
        <v>308</v>
      </c>
      <c r="H440" s="1">
        <f t="shared" si="13"/>
        <v>14000</v>
      </c>
    </row>
    <row r="441" spans="1:8" x14ac:dyDescent="0.3">
      <c r="A441" s="2" t="str">
        <f t="shared" si="12"/>
        <v>Aug-2023</v>
      </c>
      <c r="B441" s="2">
        <v>45140.789192800927</v>
      </c>
      <c r="C441" s="5" t="s">
        <v>26</v>
      </c>
      <c r="D441" s="3">
        <v>1</v>
      </c>
      <c r="E441" s="4">
        <v>1200</v>
      </c>
      <c r="F441" s="5" t="s">
        <v>24</v>
      </c>
      <c r="G441" s="5" t="s">
        <v>309</v>
      </c>
      <c r="H441" s="1">
        <f t="shared" si="13"/>
        <v>1200</v>
      </c>
    </row>
    <row r="442" spans="1:8" x14ac:dyDescent="0.3">
      <c r="A442" s="2" t="str">
        <f t="shared" si="12"/>
        <v>Aug-2023</v>
      </c>
      <c r="B442" s="2">
        <v>45141.276184120368</v>
      </c>
      <c r="C442" s="5" t="s">
        <v>9</v>
      </c>
      <c r="D442" s="3">
        <v>2</v>
      </c>
      <c r="E442" s="4">
        <v>1800</v>
      </c>
      <c r="F442" s="5" t="s">
        <v>7</v>
      </c>
      <c r="G442" s="5" t="s">
        <v>53</v>
      </c>
      <c r="H442" s="1">
        <f t="shared" si="13"/>
        <v>3600</v>
      </c>
    </row>
    <row r="443" spans="1:8" x14ac:dyDescent="0.3">
      <c r="A443" s="2" t="str">
        <f t="shared" si="12"/>
        <v>Aug-2023</v>
      </c>
      <c r="B443" s="2">
        <v>45141.763175451386</v>
      </c>
      <c r="C443" s="5" t="s">
        <v>6</v>
      </c>
      <c r="D443" s="3">
        <v>1</v>
      </c>
      <c r="E443" s="4">
        <v>700</v>
      </c>
      <c r="F443" s="5" t="s">
        <v>10</v>
      </c>
      <c r="G443" s="5" t="s">
        <v>270</v>
      </c>
      <c r="H443" s="1">
        <f t="shared" si="13"/>
        <v>700</v>
      </c>
    </row>
    <row r="444" spans="1:8" x14ac:dyDescent="0.3">
      <c r="A444" s="2" t="str">
        <f t="shared" si="12"/>
        <v>Aug-2023</v>
      </c>
      <c r="B444" s="2">
        <v>45142.250166782411</v>
      </c>
      <c r="C444" s="5" t="s">
        <v>26</v>
      </c>
      <c r="D444" s="3">
        <v>1</v>
      </c>
      <c r="E444" s="4">
        <v>3500</v>
      </c>
      <c r="F444" s="5" t="s">
        <v>10</v>
      </c>
      <c r="G444" s="5" t="s">
        <v>235</v>
      </c>
      <c r="H444" s="1">
        <f t="shared" si="13"/>
        <v>3500</v>
      </c>
    </row>
    <row r="445" spans="1:8" x14ac:dyDescent="0.3">
      <c r="A445" s="2" t="str">
        <f t="shared" si="12"/>
        <v>Aug-2023</v>
      </c>
      <c r="B445" s="2">
        <v>45142.737158101852</v>
      </c>
      <c r="C445" s="5" t="s">
        <v>12</v>
      </c>
      <c r="D445" s="3">
        <v>1</v>
      </c>
      <c r="E445" s="4">
        <v>1200</v>
      </c>
      <c r="F445" s="5" t="s">
        <v>10</v>
      </c>
      <c r="G445" s="5" t="s">
        <v>158</v>
      </c>
      <c r="H445" s="1">
        <f t="shared" si="13"/>
        <v>1200</v>
      </c>
    </row>
    <row r="446" spans="1:8" x14ac:dyDescent="0.3">
      <c r="A446" s="2" t="str">
        <f t="shared" si="12"/>
        <v>Aug-2023</v>
      </c>
      <c r="B446" s="2">
        <v>45143.22414943287</v>
      </c>
      <c r="C446" s="5" t="s">
        <v>6</v>
      </c>
      <c r="D446" s="3">
        <v>5</v>
      </c>
      <c r="E446" s="4">
        <v>450</v>
      </c>
      <c r="F446" s="5" t="s">
        <v>7</v>
      </c>
      <c r="G446" s="5" t="s">
        <v>44</v>
      </c>
      <c r="H446" s="1">
        <f t="shared" si="13"/>
        <v>2250</v>
      </c>
    </row>
    <row r="447" spans="1:8" x14ac:dyDescent="0.3">
      <c r="A447" s="2" t="str">
        <f t="shared" si="12"/>
        <v>Aug-2023</v>
      </c>
      <c r="B447" s="2">
        <v>45143.711140763888</v>
      </c>
      <c r="C447" s="5" t="s">
        <v>9</v>
      </c>
      <c r="D447" s="3">
        <v>6</v>
      </c>
      <c r="E447" s="4">
        <v>450</v>
      </c>
      <c r="F447" s="5" t="s">
        <v>24</v>
      </c>
      <c r="G447" s="5" t="s">
        <v>310</v>
      </c>
      <c r="H447" s="1">
        <f t="shared" si="13"/>
        <v>2700</v>
      </c>
    </row>
    <row r="448" spans="1:8" x14ac:dyDescent="0.3">
      <c r="A448" s="2" t="str">
        <f t="shared" si="12"/>
        <v>Aug-2023</v>
      </c>
      <c r="B448" s="2">
        <v>45144.198132083337</v>
      </c>
      <c r="C448" s="5" t="s">
        <v>17</v>
      </c>
      <c r="D448" s="3">
        <v>1</v>
      </c>
      <c r="E448" s="4">
        <v>700</v>
      </c>
      <c r="F448" s="5" t="s">
        <v>13</v>
      </c>
      <c r="G448" s="5" t="s">
        <v>311</v>
      </c>
      <c r="H448" s="1">
        <f t="shared" si="13"/>
        <v>700</v>
      </c>
    </row>
    <row r="449" spans="1:8" x14ac:dyDescent="0.3">
      <c r="A449" s="2" t="str">
        <f t="shared" si="12"/>
        <v>Aug-2023</v>
      </c>
      <c r="B449" s="2">
        <v>45144.685123414354</v>
      </c>
      <c r="C449" s="5" t="s">
        <v>6</v>
      </c>
      <c r="D449" s="3">
        <v>5</v>
      </c>
      <c r="E449" s="4">
        <v>150</v>
      </c>
      <c r="F449" s="5" t="s">
        <v>13</v>
      </c>
      <c r="G449" s="5" t="s">
        <v>47</v>
      </c>
      <c r="H449" s="1">
        <f t="shared" si="13"/>
        <v>750</v>
      </c>
    </row>
    <row r="450" spans="1:8" x14ac:dyDescent="0.3">
      <c r="A450" s="2" t="str">
        <f t="shared" si="12"/>
        <v>Aug-2023</v>
      </c>
      <c r="B450" s="2">
        <v>45145.172114745372</v>
      </c>
      <c r="C450" s="5" t="s">
        <v>17</v>
      </c>
      <c r="D450" s="3">
        <v>4</v>
      </c>
      <c r="E450" s="4">
        <v>150</v>
      </c>
      <c r="F450" s="5" t="s">
        <v>10</v>
      </c>
      <c r="G450" s="5" t="s">
        <v>312</v>
      </c>
      <c r="H450" s="1">
        <f t="shared" si="13"/>
        <v>600</v>
      </c>
    </row>
    <row r="451" spans="1:8" x14ac:dyDescent="0.3">
      <c r="A451" s="2" t="str">
        <f t="shared" ref="A451:A514" si="14">TEXT(B451, "mmm-yyyy")</f>
        <v>Aug-2023</v>
      </c>
      <c r="B451" s="2">
        <v>45145.659106076389</v>
      </c>
      <c r="C451" s="5" t="s">
        <v>26</v>
      </c>
      <c r="D451" s="3">
        <v>2</v>
      </c>
      <c r="E451" s="4">
        <v>3500</v>
      </c>
      <c r="F451" s="5" t="s">
        <v>10</v>
      </c>
      <c r="G451" s="5" t="s">
        <v>14</v>
      </c>
      <c r="H451" s="1">
        <f t="shared" ref="H451:H514" si="15" xml:space="preserve"> D451 * E451</f>
        <v>7000</v>
      </c>
    </row>
    <row r="452" spans="1:8" x14ac:dyDescent="0.3">
      <c r="A452" s="2" t="str">
        <f t="shared" si="14"/>
        <v>Aug-2023</v>
      </c>
      <c r="B452" s="2">
        <v>45146.146097395831</v>
      </c>
      <c r="C452" s="5" t="s">
        <v>12</v>
      </c>
      <c r="D452" s="3">
        <v>6</v>
      </c>
      <c r="E452" s="4">
        <v>3500</v>
      </c>
      <c r="F452" s="5" t="s">
        <v>7</v>
      </c>
      <c r="G452" s="5" t="s">
        <v>95</v>
      </c>
      <c r="H452" s="1">
        <f t="shared" si="15"/>
        <v>21000</v>
      </c>
    </row>
    <row r="453" spans="1:8" x14ac:dyDescent="0.3">
      <c r="A453" s="2" t="str">
        <f t="shared" si="14"/>
        <v>Aug-2023</v>
      </c>
      <c r="B453" s="2">
        <v>45146.633088726849</v>
      </c>
      <c r="C453" s="5" t="s">
        <v>36</v>
      </c>
      <c r="D453" s="3">
        <v>2</v>
      </c>
      <c r="E453" s="4">
        <v>3500</v>
      </c>
      <c r="F453" s="5" t="s">
        <v>24</v>
      </c>
      <c r="G453" s="5" t="s">
        <v>313</v>
      </c>
      <c r="H453" s="1">
        <f t="shared" si="15"/>
        <v>7000</v>
      </c>
    </row>
    <row r="454" spans="1:8" x14ac:dyDescent="0.3">
      <c r="A454" s="2" t="str">
        <f t="shared" si="14"/>
        <v>Aug-2023</v>
      </c>
      <c r="B454" s="2">
        <v>45147.120080057874</v>
      </c>
      <c r="C454" s="5" t="s">
        <v>12</v>
      </c>
      <c r="D454" s="3">
        <v>6</v>
      </c>
      <c r="E454" s="4">
        <v>150</v>
      </c>
      <c r="F454" s="5" t="s">
        <v>13</v>
      </c>
      <c r="G454" s="5" t="s">
        <v>314</v>
      </c>
      <c r="H454" s="1">
        <f t="shared" si="15"/>
        <v>900</v>
      </c>
    </row>
    <row r="455" spans="1:8" x14ac:dyDescent="0.3">
      <c r="A455" s="2" t="str">
        <f t="shared" si="14"/>
        <v>Aug-2023</v>
      </c>
      <c r="B455" s="2">
        <v>45147.607071377315</v>
      </c>
      <c r="C455" s="5" t="s">
        <v>6</v>
      </c>
      <c r="D455" s="3">
        <v>2</v>
      </c>
      <c r="E455" s="4">
        <v>450</v>
      </c>
      <c r="F455" s="5" t="s">
        <v>7</v>
      </c>
      <c r="G455" s="5" t="s">
        <v>315</v>
      </c>
      <c r="H455" s="1">
        <f t="shared" si="15"/>
        <v>900</v>
      </c>
    </row>
    <row r="456" spans="1:8" x14ac:dyDescent="0.3">
      <c r="A456" s="2" t="str">
        <f t="shared" si="14"/>
        <v>Aug-2023</v>
      </c>
      <c r="B456" s="2">
        <v>45148.094062708333</v>
      </c>
      <c r="C456" s="5" t="s">
        <v>17</v>
      </c>
      <c r="D456" s="3">
        <v>6</v>
      </c>
      <c r="E456" s="4">
        <v>150</v>
      </c>
      <c r="F456" s="5" t="s">
        <v>13</v>
      </c>
      <c r="G456" s="5" t="s">
        <v>179</v>
      </c>
      <c r="H456" s="1">
        <f t="shared" si="15"/>
        <v>900</v>
      </c>
    </row>
    <row r="457" spans="1:8" x14ac:dyDescent="0.3">
      <c r="A457" s="2" t="str">
        <f t="shared" si="14"/>
        <v>Aug-2023</v>
      </c>
      <c r="B457" s="2">
        <v>45148.58105403935</v>
      </c>
      <c r="C457" s="5" t="s">
        <v>17</v>
      </c>
      <c r="D457" s="3">
        <v>2</v>
      </c>
      <c r="E457" s="4">
        <v>1800</v>
      </c>
      <c r="F457" s="5" t="s">
        <v>10</v>
      </c>
      <c r="G457" s="5" t="s">
        <v>316</v>
      </c>
      <c r="H457" s="1">
        <f t="shared" si="15"/>
        <v>3600</v>
      </c>
    </row>
    <row r="458" spans="1:8" x14ac:dyDescent="0.3">
      <c r="A458" s="2" t="str">
        <f t="shared" si="14"/>
        <v>Aug-2023</v>
      </c>
      <c r="B458" s="2">
        <v>45149.068045358799</v>
      </c>
      <c r="C458" s="5" t="s">
        <v>9</v>
      </c>
      <c r="D458" s="3">
        <v>2</v>
      </c>
      <c r="E458" s="4">
        <v>1200</v>
      </c>
      <c r="F458" s="5" t="s">
        <v>13</v>
      </c>
      <c r="G458" s="5" t="s">
        <v>317</v>
      </c>
      <c r="H458" s="1">
        <f t="shared" si="15"/>
        <v>2400</v>
      </c>
    </row>
    <row r="459" spans="1:8" x14ac:dyDescent="0.3">
      <c r="A459" s="2" t="str">
        <f t="shared" si="14"/>
        <v>Aug-2023</v>
      </c>
      <c r="B459" s="2">
        <v>45149.555036689817</v>
      </c>
      <c r="C459" s="5" t="s">
        <v>17</v>
      </c>
      <c r="D459" s="3">
        <v>2</v>
      </c>
      <c r="E459" s="4">
        <v>3500</v>
      </c>
      <c r="F459" s="5" t="s">
        <v>24</v>
      </c>
      <c r="G459" s="5" t="s">
        <v>318</v>
      </c>
      <c r="H459" s="1">
        <f t="shared" si="15"/>
        <v>7000</v>
      </c>
    </row>
    <row r="460" spans="1:8" x14ac:dyDescent="0.3">
      <c r="A460" s="2" t="str">
        <f t="shared" si="14"/>
        <v>Aug-2023</v>
      </c>
      <c r="B460" s="2">
        <v>45150.042028020835</v>
      </c>
      <c r="C460" s="5" t="s">
        <v>9</v>
      </c>
      <c r="D460" s="3">
        <v>2</v>
      </c>
      <c r="E460" s="4">
        <v>450</v>
      </c>
      <c r="F460" s="5" t="s">
        <v>24</v>
      </c>
      <c r="G460" s="5" t="s">
        <v>174</v>
      </c>
      <c r="H460" s="1">
        <f t="shared" si="15"/>
        <v>900</v>
      </c>
    </row>
    <row r="461" spans="1:8" x14ac:dyDescent="0.3">
      <c r="A461" s="2" t="str">
        <f t="shared" si="14"/>
        <v>Aug-2023</v>
      </c>
      <c r="B461" s="2">
        <v>45150.529019351852</v>
      </c>
      <c r="C461" s="5" t="s">
        <v>26</v>
      </c>
      <c r="D461" s="3">
        <v>4</v>
      </c>
      <c r="E461" s="4">
        <v>700</v>
      </c>
      <c r="F461" s="5" t="s">
        <v>10</v>
      </c>
      <c r="G461" s="5" t="s">
        <v>96</v>
      </c>
      <c r="H461" s="1">
        <f t="shared" si="15"/>
        <v>2800</v>
      </c>
    </row>
    <row r="462" spans="1:8" x14ac:dyDescent="0.3">
      <c r="A462" s="2" t="str">
        <f t="shared" si="14"/>
        <v>Aug-2023</v>
      </c>
      <c r="B462" s="2">
        <v>45151.016010671294</v>
      </c>
      <c r="C462" s="5" t="s">
        <v>36</v>
      </c>
      <c r="D462" s="3">
        <v>1</v>
      </c>
      <c r="E462" s="4">
        <v>700</v>
      </c>
      <c r="F462" s="5" t="s">
        <v>24</v>
      </c>
      <c r="G462" s="5" t="s">
        <v>266</v>
      </c>
      <c r="H462" s="1">
        <f t="shared" si="15"/>
        <v>700</v>
      </c>
    </row>
    <row r="463" spans="1:8" x14ac:dyDescent="0.3">
      <c r="A463" s="2" t="str">
        <f t="shared" si="14"/>
        <v>Aug-2023</v>
      </c>
      <c r="B463" s="2">
        <v>45151.503002002311</v>
      </c>
      <c r="C463" s="5" t="s">
        <v>6</v>
      </c>
      <c r="D463" s="3">
        <v>3</v>
      </c>
      <c r="E463" s="4">
        <v>1200</v>
      </c>
      <c r="F463" s="5" t="s">
        <v>24</v>
      </c>
      <c r="G463" s="5" t="s">
        <v>216</v>
      </c>
      <c r="H463" s="1">
        <f t="shared" si="15"/>
        <v>3600</v>
      </c>
    </row>
    <row r="464" spans="1:8" x14ac:dyDescent="0.3">
      <c r="A464" s="2" t="str">
        <f t="shared" si="14"/>
        <v>Aug-2023</v>
      </c>
      <c r="B464" s="2">
        <v>45151.989993333336</v>
      </c>
      <c r="C464" s="5" t="s">
        <v>9</v>
      </c>
      <c r="D464" s="3">
        <v>5</v>
      </c>
      <c r="E464" s="4">
        <v>450</v>
      </c>
      <c r="F464" s="5" t="s">
        <v>7</v>
      </c>
      <c r="G464" s="5" t="s">
        <v>176</v>
      </c>
      <c r="H464" s="1">
        <f t="shared" si="15"/>
        <v>2250</v>
      </c>
    </row>
    <row r="465" spans="1:8" x14ac:dyDescent="0.3">
      <c r="A465" s="2" t="str">
        <f t="shared" si="14"/>
        <v>Aug-2023</v>
      </c>
      <c r="B465" s="2">
        <v>45152.476984652778</v>
      </c>
      <c r="C465" s="5" t="s">
        <v>36</v>
      </c>
      <c r="D465" s="3">
        <v>3</v>
      </c>
      <c r="E465" s="4">
        <v>150</v>
      </c>
      <c r="F465" s="5" t="s">
        <v>13</v>
      </c>
      <c r="G465" s="5" t="s">
        <v>57</v>
      </c>
      <c r="H465" s="1">
        <f t="shared" si="15"/>
        <v>450</v>
      </c>
    </row>
    <row r="466" spans="1:8" x14ac:dyDescent="0.3">
      <c r="A466" s="2" t="str">
        <f t="shared" si="14"/>
        <v>Aug-2023</v>
      </c>
      <c r="B466" s="2">
        <v>45152.963975983796</v>
      </c>
      <c r="C466" s="5" t="s">
        <v>17</v>
      </c>
      <c r="D466" s="3">
        <v>3</v>
      </c>
      <c r="E466" s="4">
        <v>150</v>
      </c>
      <c r="F466" s="5" t="s">
        <v>10</v>
      </c>
      <c r="G466" s="5" t="s">
        <v>265</v>
      </c>
      <c r="H466" s="1">
        <f t="shared" si="15"/>
        <v>450</v>
      </c>
    </row>
    <row r="467" spans="1:8" x14ac:dyDescent="0.3">
      <c r="A467" s="2" t="str">
        <f t="shared" si="14"/>
        <v>Aug-2023</v>
      </c>
      <c r="B467" s="2">
        <v>45153.450967314813</v>
      </c>
      <c r="C467" s="5" t="s">
        <v>17</v>
      </c>
      <c r="D467" s="3">
        <v>6</v>
      </c>
      <c r="E467" s="4">
        <v>1800</v>
      </c>
      <c r="F467" s="5" t="s">
        <v>10</v>
      </c>
      <c r="G467" s="5" t="s">
        <v>319</v>
      </c>
      <c r="H467" s="1">
        <f t="shared" si="15"/>
        <v>10800</v>
      </c>
    </row>
    <row r="468" spans="1:8" x14ac:dyDescent="0.3">
      <c r="A468" s="2" t="str">
        <f t="shared" si="14"/>
        <v>Aug-2023</v>
      </c>
      <c r="B468" s="2">
        <v>45153.937958634262</v>
      </c>
      <c r="C468" s="5" t="s">
        <v>36</v>
      </c>
      <c r="D468" s="3">
        <v>1</v>
      </c>
      <c r="E468" s="4">
        <v>1800</v>
      </c>
      <c r="F468" s="5" t="s">
        <v>10</v>
      </c>
      <c r="G468" s="5" t="s">
        <v>320</v>
      </c>
      <c r="H468" s="1">
        <f t="shared" si="15"/>
        <v>1800</v>
      </c>
    </row>
    <row r="469" spans="1:8" x14ac:dyDescent="0.3">
      <c r="A469" s="2" t="str">
        <f t="shared" si="14"/>
        <v>Aug-2023</v>
      </c>
      <c r="B469" s="2">
        <v>45154.42494996528</v>
      </c>
      <c r="C469" s="5" t="s">
        <v>17</v>
      </c>
      <c r="D469" s="3">
        <v>6</v>
      </c>
      <c r="E469" s="4">
        <v>150</v>
      </c>
      <c r="F469" s="5" t="s">
        <v>10</v>
      </c>
      <c r="G469" s="5" t="s">
        <v>149</v>
      </c>
      <c r="H469" s="1">
        <f t="shared" si="15"/>
        <v>900</v>
      </c>
    </row>
    <row r="470" spans="1:8" x14ac:dyDescent="0.3">
      <c r="A470" s="2" t="str">
        <f t="shared" si="14"/>
        <v>Aug-2023</v>
      </c>
      <c r="B470" s="2">
        <v>45154.911941296297</v>
      </c>
      <c r="C470" s="5" t="s">
        <v>26</v>
      </c>
      <c r="D470" s="3">
        <v>1</v>
      </c>
      <c r="E470" s="4">
        <v>700</v>
      </c>
      <c r="F470" s="5" t="s">
        <v>10</v>
      </c>
      <c r="G470" s="5" t="s">
        <v>321</v>
      </c>
      <c r="H470" s="1">
        <f t="shared" si="15"/>
        <v>700</v>
      </c>
    </row>
    <row r="471" spans="1:8" x14ac:dyDescent="0.3">
      <c r="A471" s="2" t="str">
        <f t="shared" si="14"/>
        <v>Aug-2023</v>
      </c>
      <c r="B471" s="2">
        <v>45155.398932627315</v>
      </c>
      <c r="C471" s="5" t="s">
        <v>26</v>
      </c>
      <c r="D471" s="3">
        <v>1</v>
      </c>
      <c r="E471" s="4">
        <v>3500</v>
      </c>
      <c r="F471" s="5" t="s">
        <v>24</v>
      </c>
      <c r="G471" s="5" t="s">
        <v>322</v>
      </c>
      <c r="H471" s="1">
        <f t="shared" si="15"/>
        <v>3500</v>
      </c>
    </row>
    <row r="472" spans="1:8" x14ac:dyDescent="0.3">
      <c r="A472" s="2" t="str">
        <f t="shared" si="14"/>
        <v>Aug-2023</v>
      </c>
      <c r="B472" s="2">
        <v>45155.885923946757</v>
      </c>
      <c r="C472" s="5" t="s">
        <v>36</v>
      </c>
      <c r="D472" s="3">
        <v>2</v>
      </c>
      <c r="E472" s="4">
        <v>700</v>
      </c>
      <c r="F472" s="5" t="s">
        <v>7</v>
      </c>
      <c r="G472" s="5" t="s">
        <v>323</v>
      </c>
      <c r="H472" s="1">
        <f t="shared" si="15"/>
        <v>1400</v>
      </c>
    </row>
    <row r="473" spans="1:8" x14ac:dyDescent="0.3">
      <c r="A473" s="2" t="str">
        <f t="shared" si="14"/>
        <v>Aug-2023</v>
      </c>
      <c r="B473" s="2">
        <v>45156.372915277774</v>
      </c>
      <c r="C473" s="5" t="s">
        <v>9</v>
      </c>
      <c r="D473" s="3">
        <v>4</v>
      </c>
      <c r="E473" s="4">
        <v>1800</v>
      </c>
      <c r="F473" s="5" t="s">
        <v>10</v>
      </c>
      <c r="G473" s="5" t="s">
        <v>324</v>
      </c>
      <c r="H473" s="1">
        <f t="shared" si="15"/>
        <v>7200</v>
      </c>
    </row>
    <row r="474" spans="1:8" x14ac:dyDescent="0.3">
      <c r="A474" s="2" t="str">
        <f t="shared" si="14"/>
        <v>Aug-2023</v>
      </c>
      <c r="B474" s="2">
        <v>45156.859906608799</v>
      </c>
      <c r="C474" s="5" t="s">
        <v>9</v>
      </c>
      <c r="D474" s="3">
        <v>2</v>
      </c>
      <c r="E474" s="4">
        <v>1200</v>
      </c>
      <c r="F474" s="5" t="s">
        <v>7</v>
      </c>
      <c r="G474" s="5" t="s">
        <v>325</v>
      </c>
      <c r="H474" s="1">
        <f t="shared" si="15"/>
        <v>2400</v>
      </c>
    </row>
    <row r="475" spans="1:8" x14ac:dyDescent="0.3">
      <c r="A475" s="2" t="str">
        <f t="shared" si="14"/>
        <v>Aug-2023</v>
      </c>
      <c r="B475" s="2">
        <v>45157.346897928241</v>
      </c>
      <c r="C475" s="5" t="s">
        <v>36</v>
      </c>
      <c r="D475" s="3">
        <v>4</v>
      </c>
      <c r="E475" s="4">
        <v>150</v>
      </c>
      <c r="F475" s="5" t="s">
        <v>7</v>
      </c>
      <c r="G475" s="5" t="s">
        <v>326</v>
      </c>
      <c r="H475" s="1">
        <f t="shared" si="15"/>
        <v>600</v>
      </c>
    </row>
    <row r="476" spans="1:8" x14ac:dyDescent="0.3">
      <c r="A476" s="2" t="str">
        <f t="shared" si="14"/>
        <v>Aug-2023</v>
      </c>
      <c r="B476" s="2">
        <v>45157.833889259258</v>
      </c>
      <c r="C476" s="5" t="s">
        <v>9</v>
      </c>
      <c r="D476" s="3">
        <v>6</v>
      </c>
      <c r="E476" s="4">
        <v>1800</v>
      </c>
      <c r="F476" s="5" t="s">
        <v>24</v>
      </c>
      <c r="G476" s="5" t="s">
        <v>197</v>
      </c>
      <c r="H476" s="1">
        <f t="shared" si="15"/>
        <v>10800</v>
      </c>
    </row>
    <row r="477" spans="1:8" x14ac:dyDescent="0.3">
      <c r="A477" s="2" t="str">
        <f t="shared" si="14"/>
        <v>Aug-2023</v>
      </c>
      <c r="B477" s="2">
        <v>45158.320880590276</v>
      </c>
      <c r="C477" s="5" t="s">
        <v>9</v>
      </c>
      <c r="D477" s="3">
        <v>4</v>
      </c>
      <c r="E477" s="4">
        <v>1800</v>
      </c>
      <c r="F477" s="5" t="s">
        <v>10</v>
      </c>
      <c r="G477" s="5" t="s">
        <v>327</v>
      </c>
      <c r="H477" s="1">
        <f t="shared" si="15"/>
        <v>7200</v>
      </c>
    </row>
    <row r="478" spans="1:8" x14ac:dyDescent="0.3">
      <c r="A478" s="2" t="str">
        <f t="shared" si="14"/>
        <v>Aug-2023</v>
      </c>
      <c r="B478" s="2">
        <v>45158.807871909725</v>
      </c>
      <c r="C478" s="5" t="s">
        <v>26</v>
      </c>
      <c r="D478" s="3">
        <v>6</v>
      </c>
      <c r="E478" s="4">
        <v>3500</v>
      </c>
      <c r="F478" s="5" t="s">
        <v>24</v>
      </c>
      <c r="G478" s="5" t="s">
        <v>118</v>
      </c>
      <c r="H478" s="1">
        <f t="shared" si="15"/>
        <v>21000</v>
      </c>
    </row>
    <row r="479" spans="1:8" x14ac:dyDescent="0.3">
      <c r="A479" s="2" t="str">
        <f t="shared" si="14"/>
        <v>Aug-2023</v>
      </c>
      <c r="B479" s="2">
        <v>45159.294863240742</v>
      </c>
      <c r="C479" s="5" t="s">
        <v>9</v>
      </c>
      <c r="D479" s="3">
        <v>3</v>
      </c>
      <c r="E479" s="4">
        <v>150</v>
      </c>
      <c r="F479" s="5" t="s">
        <v>10</v>
      </c>
      <c r="G479" s="5" t="s">
        <v>258</v>
      </c>
      <c r="H479" s="1">
        <f t="shared" si="15"/>
        <v>450</v>
      </c>
    </row>
    <row r="480" spans="1:8" x14ac:dyDescent="0.3">
      <c r="A480" s="2" t="str">
        <f t="shared" si="14"/>
        <v>Aug-2023</v>
      </c>
      <c r="B480" s="2">
        <v>45159.78185457176</v>
      </c>
      <c r="C480" s="5" t="s">
        <v>12</v>
      </c>
      <c r="D480" s="3">
        <v>3</v>
      </c>
      <c r="E480" s="4">
        <v>3500</v>
      </c>
      <c r="F480" s="5" t="s">
        <v>24</v>
      </c>
      <c r="G480" s="5" t="s">
        <v>240</v>
      </c>
      <c r="H480" s="1">
        <f t="shared" si="15"/>
        <v>10500</v>
      </c>
    </row>
    <row r="481" spans="1:8" x14ac:dyDescent="0.3">
      <c r="A481" s="2" t="str">
        <f t="shared" si="14"/>
        <v>Aug-2023</v>
      </c>
      <c r="B481" s="2">
        <v>45160.268845902778</v>
      </c>
      <c r="C481" s="5" t="s">
        <v>6</v>
      </c>
      <c r="D481" s="3">
        <v>4</v>
      </c>
      <c r="E481" s="4">
        <v>150</v>
      </c>
      <c r="F481" s="5" t="s">
        <v>7</v>
      </c>
      <c r="G481" s="5" t="s">
        <v>241</v>
      </c>
      <c r="H481" s="1">
        <f t="shared" si="15"/>
        <v>600</v>
      </c>
    </row>
    <row r="482" spans="1:8" x14ac:dyDescent="0.3">
      <c r="A482" s="2" t="str">
        <f t="shared" si="14"/>
        <v>Aug-2023</v>
      </c>
      <c r="B482" s="2">
        <v>45160.755837222219</v>
      </c>
      <c r="C482" s="5" t="s">
        <v>17</v>
      </c>
      <c r="D482" s="3">
        <v>4</v>
      </c>
      <c r="E482" s="4">
        <v>3500</v>
      </c>
      <c r="F482" s="5" t="s">
        <v>10</v>
      </c>
      <c r="G482" s="5" t="s">
        <v>328</v>
      </c>
      <c r="H482" s="1">
        <f t="shared" si="15"/>
        <v>14000</v>
      </c>
    </row>
    <row r="483" spans="1:8" x14ac:dyDescent="0.3">
      <c r="A483" s="2" t="str">
        <f t="shared" si="14"/>
        <v>Aug-2023</v>
      </c>
      <c r="B483" s="2">
        <v>45161.242828553244</v>
      </c>
      <c r="C483" s="5" t="s">
        <v>12</v>
      </c>
      <c r="D483" s="3">
        <v>6</v>
      </c>
      <c r="E483" s="4">
        <v>700</v>
      </c>
      <c r="F483" s="5" t="s">
        <v>13</v>
      </c>
      <c r="G483" s="5" t="s">
        <v>191</v>
      </c>
      <c r="H483" s="1">
        <f t="shared" si="15"/>
        <v>4200</v>
      </c>
    </row>
    <row r="484" spans="1:8" x14ac:dyDescent="0.3">
      <c r="A484" s="2" t="str">
        <f t="shared" si="14"/>
        <v>Aug-2023</v>
      </c>
      <c r="B484" s="2">
        <v>45161.729819884262</v>
      </c>
      <c r="C484" s="5" t="s">
        <v>9</v>
      </c>
      <c r="D484" s="3">
        <v>2</v>
      </c>
      <c r="E484" s="4">
        <v>1200</v>
      </c>
      <c r="F484" s="5" t="s">
        <v>7</v>
      </c>
      <c r="G484" s="5" t="s">
        <v>329</v>
      </c>
      <c r="H484" s="1">
        <f t="shared" si="15"/>
        <v>2400</v>
      </c>
    </row>
    <row r="485" spans="1:8" x14ac:dyDescent="0.3">
      <c r="A485" s="2" t="str">
        <f t="shared" si="14"/>
        <v>Aug-2023</v>
      </c>
      <c r="B485" s="2">
        <v>45162.216811203703</v>
      </c>
      <c r="C485" s="5" t="s">
        <v>26</v>
      </c>
      <c r="D485" s="3">
        <v>6</v>
      </c>
      <c r="E485" s="4">
        <v>1200</v>
      </c>
      <c r="F485" s="5" t="s">
        <v>13</v>
      </c>
      <c r="G485" s="5" t="s">
        <v>114</v>
      </c>
      <c r="H485" s="1">
        <f t="shared" si="15"/>
        <v>7200</v>
      </c>
    </row>
    <row r="486" spans="1:8" x14ac:dyDescent="0.3">
      <c r="A486" s="2" t="str">
        <f t="shared" si="14"/>
        <v>Aug-2023</v>
      </c>
      <c r="B486" s="2">
        <v>45162.703802534721</v>
      </c>
      <c r="C486" s="5" t="s">
        <v>36</v>
      </c>
      <c r="D486" s="3">
        <v>2</v>
      </c>
      <c r="E486" s="4">
        <v>150</v>
      </c>
      <c r="F486" s="5" t="s">
        <v>7</v>
      </c>
      <c r="G486" s="5" t="s">
        <v>221</v>
      </c>
      <c r="H486" s="1">
        <f t="shared" si="15"/>
        <v>300</v>
      </c>
    </row>
    <row r="487" spans="1:8" x14ac:dyDescent="0.3">
      <c r="A487" s="2" t="str">
        <f t="shared" si="14"/>
        <v>Aug-2023</v>
      </c>
      <c r="B487" s="2">
        <v>45163.190793865739</v>
      </c>
      <c r="C487" s="5" t="s">
        <v>9</v>
      </c>
      <c r="D487" s="3">
        <v>3</v>
      </c>
      <c r="E487" s="4">
        <v>450</v>
      </c>
      <c r="F487" s="5" t="s">
        <v>24</v>
      </c>
      <c r="G487" s="5" t="s">
        <v>330</v>
      </c>
      <c r="H487" s="1">
        <f t="shared" si="15"/>
        <v>1350</v>
      </c>
    </row>
    <row r="488" spans="1:8" x14ac:dyDescent="0.3">
      <c r="A488" s="2" t="str">
        <f t="shared" si="14"/>
        <v>Aug-2023</v>
      </c>
      <c r="B488" s="2">
        <v>45163.677785185188</v>
      </c>
      <c r="C488" s="5" t="s">
        <v>26</v>
      </c>
      <c r="D488" s="3">
        <v>1</v>
      </c>
      <c r="E488" s="4">
        <v>1800</v>
      </c>
      <c r="F488" s="5" t="s">
        <v>10</v>
      </c>
      <c r="G488" s="5" t="s">
        <v>193</v>
      </c>
      <c r="H488" s="1">
        <f t="shared" si="15"/>
        <v>1800</v>
      </c>
    </row>
    <row r="489" spans="1:8" x14ac:dyDescent="0.3">
      <c r="A489" s="2" t="str">
        <f t="shared" si="14"/>
        <v>Aug-2023</v>
      </c>
      <c r="B489" s="2">
        <v>45164.164776516205</v>
      </c>
      <c r="C489" s="5" t="s">
        <v>6</v>
      </c>
      <c r="D489" s="3">
        <v>4</v>
      </c>
      <c r="E489" s="4">
        <v>1800</v>
      </c>
      <c r="F489" s="5" t="s">
        <v>7</v>
      </c>
      <c r="G489" s="5" t="s">
        <v>23</v>
      </c>
      <c r="H489" s="1">
        <f t="shared" si="15"/>
        <v>7200</v>
      </c>
    </row>
    <row r="490" spans="1:8" x14ac:dyDescent="0.3">
      <c r="A490" s="2" t="str">
        <f t="shared" si="14"/>
        <v>Aug-2023</v>
      </c>
      <c r="B490" s="2">
        <v>45164.651767847223</v>
      </c>
      <c r="C490" s="5" t="s">
        <v>9</v>
      </c>
      <c r="D490" s="3">
        <v>2</v>
      </c>
      <c r="E490" s="4">
        <v>150</v>
      </c>
      <c r="F490" s="5" t="s">
        <v>24</v>
      </c>
      <c r="G490" s="5" t="s">
        <v>322</v>
      </c>
      <c r="H490" s="1">
        <f t="shared" si="15"/>
        <v>300</v>
      </c>
    </row>
    <row r="491" spans="1:8" x14ac:dyDescent="0.3">
      <c r="A491" s="2" t="str">
        <f t="shared" si="14"/>
        <v>Aug-2023</v>
      </c>
      <c r="B491" s="2">
        <v>45165.13875917824</v>
      </c>
      <c r="C491" s="5" t="s">
        <v>36</v>
      </c>
      <c r="D491" s="3">
        <v>6</v>
      </c>
      <c r="E491" s="4">
        <v>3500</v>
      </c>
      <c r="F491" s="5" t="s">
        <v>10</v>
      </c>
      <c r="G491" s="5" t="s">
        <v>42</v>
      </c>
      <c r="H491" s="1">
        <f t="shared" si="15"/>
        <v>21000</v>
      </c>
    </row>
    <row r="492" spans="1:8" x14ac:dyDescent="0.3">
      <c r="A492" s="2" t="str">
        <f t="shared" si="14"/>
        <v>Aug-2023</v>
      </c>
      <c r="B492" s="2">
        <v>45165.625750497682</v>
      </c>
      <c r="C492" s="5" t="s">
        <v>26</v>
      </c>
      <c r="D492" s="3">
        <v>3</v>
      </c>
      <c r="E492" s="4">
        <v>450</v>
      </c>
      <c r="F492" s="5" t="s">
        <v>10</v>
      </c>
      <c r="G492" s="5" t="s">
        <v>144</v>
      </c>
      <c r="H492" s="1">
        <f t="shared" si="15"/>
        <v>1350</v>
      </c>
    </row>
    <row r="493" spans="1:8" x14ac:dyDescent="0.3">
      <c r="A493" s="2" t="str">
        <f t="shared" si="14"/>
        <v>Aug-2023</v>
      </c>
      <c r="B493" s="2">
        <v>45166.112741828707</v>
      </c>
      <c r="C493" s="5" t="s">
        <v>26</v>
      </c>
      <c r="D493" s="3">
        <v>2</v>
      </c>
      <c r="E493" s="4">
        <v>700</v>
      </c>
      <c r="F493" s="5" t="s">
        <v>7</v>
      </c>
      <c r="G493" s="5" t="s">
        <v>331</v>
      </c>
      <c r="H493" s="1">
        <f t="shared" si="15"/>
        <v>1400</v>
      </c>
    </row>
    <row r="494" spans="1:8" x14ac:dyDescent="0.3">
      <c r="A494" s="2" t="str">
        <f t="shared" si="14"/>
        <v>Aug-2023</v>
      </c>
      <c r="B494" s="2">
        <v>45166.599733159725</v>
      </c>
      <c r="C494" s="5" t="s">
        <v>26</v>
      </c>
      <c r="D494" s="3">
        <v>6</v>
      </c>
      <c r="E494" s="4">
        <v>3500</v>
      </c>
      <c r="F494" s="5" t="s">
        <v>10</v>
      </c>
      <c r="G494" s="5" t="s">
        <v>34</v>
      </c>
      <c r="H494" s="1">
        <f t="shared" si="15"/>
        <v>21000</v>
      </c>
    </row>
    <row r="495" spans="1:8" x14ac:dyDescent="0.3">
      <c r="A495" s="2" t="str">
        <f t="shared" si="14"/>
        <v>Aug-2023</v>
      </c>
      <c r="B495" s="2">
        <v>45167.086724479166</v>
      </c>
      <c r="C495" s="5" t="s">
        <v>6</v>
      </c>
      <c r="D495" s="3">
        <v>4</v>
      </c>
      <c r="E495" s="4">
        <v>3500</v>
      </c>
      <c r="F495" s="5" t="s">
        <v>7</v>
      </c>
      <c r="G495" s="5" t="s">
        <v>250</v>
      </c>
      <c r="H495" s="1">
        <f t="shared" si="15"/>
        <v>14000</v>
      </c>
    </row>
    <row r="496" spans="1:8" x14ac:dyDescent="0.3">
      <c r="A496" s="2" t="str">
        <f t="shared" si="14"/>
        <v>Aug-2023</v>
      </c>
      <c r="B496" s="2">
        <v>45167.573715810184</v>
      </c>
      <c r="C496" s="5" t="s">
        <v>9</v>
      </c>
      <c r="D496" s="3">
        <v>4</v>
      </c>
      <c r="E496" s="4">
        <v>150</v>
      </c>
      <c r="F496" s="5" t="s">
        <v>10</v>
      </c>
      <c r="G496" s="5" t="s">
        <v>86</v>
      </c>
      <c r="H496" s="1">
        <f t="shared" si="15"/>
        <v>600</v>
      </c>
    </row>
    <row r="497" spans="1:8" x14ac:dyDescent="0.3">
      <c r="A497" s="2" t="str">
        <f t="shared" si="14"/>
        <v>Aug-2023</v>
      </c>
      <c r="B497" s="2">
        <v>45168.060707141201</v>
      </c>
      <c r="C497" s="5" t="s">
        <v>6</v>
      </c>
      <c r="D497" s="3">
        <v>5</v>
      </c>
      <c r="E497" s="4">
        <v>150</v>
      </c>
      <c r="F497" s="5" t="s">
        <v>13</v>
      </c>
      <c r="G497" s="5" t="s">
        <v>332</v>
      </c>
      <c r="H497" s="1">
        <f t="shared" si="15"/>
        <v>750</v>
      </c>
    </row>
    <row r="498" spans="1:8" x14ac:dyDescent="0.3">
      <c r="A498" s="2" t="str">
        <f t="shared" si="14"/>
        <v>Aug-2023</v>
      </c>
      <c r="B498" s="2">
        <v>45168.54769846065</v>
      </c>
      <c r="C498" s="5" t="s">
        <v>17</v>
      </c>
      <c r="D498" s="3">
        <v>1</v>
      </c>
      <c r="E498" s="4">
        <v>1800</v>
      </c>
      <c r="F498" s="5" t="s">
        <v>24</v>
      </c>
      <c r="G498" s="5" t="s">
        <v>209</v>
      </c>
      <c r="H498" s="1">
        <f t="shared" si="15"/>
        <v>1800</v>
      </c>
    </row>
    <row r="499" spans="1:8" x14ac:dyDescent="0.3">
      <c r="A499" s="2" t="str">
        <f t="shared" si="14"/>
        <v>Aug-2023</v>
      </c>
      <c r="B499" s="2">
        <v>45169.034689791668</v>
      </c>
      <c r="C499" s="5" t="s">
        <v>17</v>
      </c>
      <c r="D499" s="3">
        <v>5</v>
      </c>
      <c r="E499" s="4">
        <v>150</v>
      </c>
      <c r="F499" s="5" t="s">
        <v>13</v>
      </c>
      <c r="G499" s="5" t="s">
        <v>333</v>
      </c>
      <c r="H499" s="1">
        <f t="shared" si="15"/>
        <v>750</v>
      </c>
    </row>
    <row r="500" spans="1:8" x14ac:dyDescent="0.3">
      <c r="A500" s="2" t="str">
        <f t="shared" si="14"/>
        <v>Aug-2023</v>
      </c>
      <c r="B500" s="2">
        <v>45169.521681122686</v>
      </c>
      <c r="C500" s="5" t="s">
        <v>9</v>
      </c>
      <c r="D500" s="3">
        <v>3</v>
      </c>
      <c r="E500" s="4">
        <v>150</v>
      </c>
      <c r="F500" s="5" t="s">
        <v>7</v>
      </c>
      <c r="G500" s="5" t="s">
        <v>38</v>
      </c>
      <c r="H500" s="1">
        <f t="shared" si="15"/>
        <v>450</v>
      </c>
    </row>
    <row r="501" spans="1:8" x14ac:dyDescent="0.3">
      <c r="A501" s="2" t="str">
        <f t="shared" si="14"/>
        <v>Sep-2023</v>
      </c>
      <c r="B501" s="2">
        <v>45170.008672453703</v>
      </c>
      <c r="C501" s="5" t="s">
        <v>6</v>
      </c>
      <c r="D501" s="3">
        <v>2</v>
      </c>
      <c r="E501" s="4">
        <v>150</v>
      </c>
      <c r="F501" s="5" t="s">
        <v>13</v>
      </c>
      <c r="G501" s="5" t="s">
        <v>65</v>
      </c>
      <c r="H501" s="1">
        <f t="shared" si="15"/>
        <v>300</v>
      </c>
    </row>
    <row r="502" spans="1:8" x14ac:dyDescent="0.3">
      <c r="A502" s="2" t="str">
        <f t="shared" si="14"/>
        <v>Sep-2023</v>
      </c>
      <c r="B502" s="2">
        <v>45170.495663773145</v>
      </c>
      <c r="C502" s="5" t="s">
        <v>36</v>
      </c>
      <c r="D502" s="3">
        <v>3</v>
      </c>
      <c r="E502" s="4">
        <v>1800</v>
      </c>
      <c r="F502" s="5" t="s">
        <v>7</v>
      </c>
      <c r="G502" s="5" t="s">
        <v>334</v>
      </c>
      <c r="H502" s="1">
        <f t="shared" si="15"/>
        <v>5400</v>
      </c>
    </row>
    <row r="503" spans="1:8" x14ac:dyDescent="0.3">
      <c r="A503" s="2" t="str">
        <f t="shared" si="14"/>
        <v>Sep-2023</v>
      </c>
      <c r="B503" s="2">
        <v>45170.98265510417</v>
      </c>
      <c r="C503" s="5" t="s">
        <v>26</v>
      </c>
      <c r="D503" s="3">
        <v>6</v>
      </c>
      <c r="E503" s="4">
        <v>700</v>
      </c>
      <c r="F503" s="5" t="s">
        <v>10</v>
      </c>
      <c r="G503" s="5" t="s">
        <v>194</v>
      </c>
      <c r="H503" s="1">
        <f t="shared" si="15"/>
        <v>4200</v>
      </c>
    </row>
    <row r="504" spans="1:8" x14ac:dyDescent="0.3">
      <c r="A504" s="2" t="str">
        <f t="shared" si="14"/>
        <v>Sep-2023</v>
      </c>
      <c r="B504" s="2">
        <v>45171.469646435187</v>
      </c>
      <c r="C504" s="5" t="s">
        <v>26</v>
      </c>
      <c r="D504" s="3">
        <v>4</v>
      </c>
      <c r="E504" s="4">
        <v>700</v>
      </c>
      <c r="F504" s="5" t="s">
        <v>10</v>
      </c>
      <c r="G504" s="5" t="s">
        <v>335</v>
      </c>
      <c r="H504" s="1">
        <f t="shared" si="15"/>
        <v>2800</v>
      </c>
    </row>
    <row r="505" spans="1:8" x14ac:dyDescent="0.3">
      <c r="A505" s="2" t="str">
        <f t="shared" si="14"/>
        <v>Sep-2023</v>
      </c>
      <c r="B505" s="2">
        <v>45171.956637754629</v>
      </c>
      <c r="C505" s="5" t="s">
        <v>9</v>
      </c>
      <c r="D505" s="3">
        <v>5</v>
      </c>
      <c r="E505" s="4">
        <v>150</v>
      </c>
      <c r="F505" s="5" t="s">
        <v>7</v>
      </c>
      <c r="G505" s="5" t="s">
        <v>172</v>
      </c>
      <c r="H505" s="1">
        <f t="shared" si="15"/>
        <v>750</v>
      </c>
    </row>
    <row r="506" spans="1:8" x14ac:dyDescent="0.3">
      <c r="A506" s="2" t="str">
        <f t="shared" si="14"/>
        <v>Sep-2023</v>
      </c>
      <c r="B506" s="2">
        <v>45172.443629085647</v>
      </c>
      <c r="C506" s="5" t="s">
        <v>17</v>
      </c>
      <c r="D506" s="3">
        <v>5</v>
      </c>
      <c r="E506" s="4">
        <v>1800</v>
      </c>
      <c r="F506" s="5" t="s">
        <v>13</v>
      </c>
      <c r="G506" s="5" t="s">
        <v>40</v>
      </c>
      <c r="H506" s="1">
        <f t="shared" si="15"/>
        <v>9000</v>
      </c>
    </row>
    <row r="507" spans="1:8" x14ac:dyDescent="0.3">
      <c r="A507" s="2" t="str">
        <f t="shared" si="14"/>
        <v>Sep-2023</v>
      </c>
      <c r="B507" s="2">
        <v>45172.930620416664</v>
      </c>
      <c r="C507" s="5" t="s">
        <v>17</v>
      </c>
      <c r="D507" s="3">
        <v>5</v>
      </c>
      <c r="E507" s="4">
        <v>700</v>
      </c>
      <c r="F507" s="5" t="s">
        <v>10</v>
      </c>
      <c r="G507" s="5" t="s">
        <v>44</v>
      </c>
      <c r="H507" s="1">
        <f t="shared" si="15"/>
        <v>3500</v>
      </c>
    </row>
    <row r="508" spans="1:8" x14ac:dyDescent="0.3">
      <c r="A508" s="2" t="str">
        <f t="shared" si="14"/>
        <v>Sep-2023</v>
      </c>
      <c r="B508" s="2">
        <v>45173.417611736113</v>
      </c>
      <c r="C508" s="5" t="s">
        <v>26</v>
      </c>
      <c r="D508" s="3">
        <v>3</v>
      </c>
      <c r="E508" s="4">
        <v>3500</v>
      </c>
      <c r="F508" s="5" t="s">
        <v>24</v>
      </c>
      <c r="G508" s="5" t="s">
        <v>336</v>
      </c>
      <c r="H508" s="1">
        <f t="shared" si="15"/>
        <v>10500</v>
      </c>
    </row>
    <row r="509" spans="1:8" x14ac:dyDescent="0.3">
      <c r="A509" s="2" t="str">
        <f t="shared" si="14"/>
        <v>Sep-2023</v>
      </c>
      <c r="B509" s="2">
        <v>45173.904603067131</v>
      </c>
      <c r="C509" s="5" t="s">
        <v>9</v>
      </c>
      <c r="D509" s="3">
        <v>4</v>
      </c>
      <c r="E509" s="4">
        <v>700</v>
      </c>
      <c r="F509" s="5" t="s">
        <v>10</v>
      </c>
      <c r="G509" s="5" t="s">
        <v>220</v>
      </c>
      <c r="H509" s="1">
        <f t="shared" si="15"/>
        <v>2800</v>
      </c>
    </row>
    <row r="510" spans="1:8" x14ac:dyDescent="0.3">
      <c r="A510" s="2" t="str">
        <f t="shared" si="14"/>
        <v>Sep-2023</v>
      </c>
      <c r="B510" s="2">
        <v>45174.391594398148</v>
      </c>
      <c r="C510" s="5" t="s">
        <v>6</v>
      </c>
      <c r="D510" s="3">
        <v>2</v>
      </c>
      <c r="E510" s="4">
        <v>700</v>
      </c>
      <c r="F510" s="5" t="s">
        <v>24</v>
      </c>
      <c r="G510" s="5" t="s">
        <v>337</v>
      </c>
      <c r="H510" s="1">
        <f t="shared" si="15"/>
        <v>1400</v>
      </c>
    </row>
    <row r="511" spans="1:8" x14ac:dyDescent="0.3">
      <c r="A511" s="2" t="str">
        <f t="shared" si="14"/>
        <v>Sep-2023</v>
      </c>
      <c r="B511" s="2">
        <v>45174.878585729166</v>
      </c>
      <c r="C511" s="5" t="s">
        <v>17</v>
      </c>
      <c r="D511" s="3">
        <v>6</v>
      </c>
      <c r="E511" s="4">
        <v>1800</v>
      </c>
      <c r="F511" s="5" t="s">
        <v>13</v>
      </c>
      <c r="G511" s="5" t="s">
        <v>338</v>
      </c>
      <c r="H511" s="1">
        <f t="shared" si="15"/>
        <v>10800</v>
      </c>
    </row>
    <row r="512" spans="1:8" x14ac:dyDescent="0.3">
      <c r="A512" s="2" t="str">
        <f t="shared" si="14"/>
        <v>Sep-2023</v>
      </c>
      <c r="B512" s="2">
        <v>45175.365577048608</v>
      </c>
      <c r="C512" s="5" t="s">
        <v>6</v>
      </c>
      <c r="D512" s="3">
        <v>2</v>
      </c>
      <c r="E512" s="4">
        <v>3500</v>
      </c>
      <c r="F512" s="5" t="s">
        <v>24</v>
      </c>
      <c r="G512" s="5" t="s">
        <v>339</v>
      </c>
      <c r="H512" s="1">
        <f t="shared" si="15"/>
        <v>7000</v>
      </c>
    </row>
    <row r="513" spans="1:8" x14ac:dyDescent="0.3">
      <c r="A513" s="2" t="str">
        <f t="shared" si="14"/>
        <v>Sep-2023</v>
      </c>
      <c r="B513" s="2">
        <v>45175.852568379632</v>
      </c>
      <c r="C513" s="5" t="s">
        <v>17</v>
      </c>
      <c r="D513" s="3">
        <v>3</v>
      </c>
      <c r="E513" s="4">
        <v>1800</v>
      </c>
      <c r="F513" s="5" t="s">
        <v>24</v>
      </c>
      <c r="G513" s="5" t="s">
        <v>185</v>
      </c>
      <c r="H513" s="1">
        <f t="shared" si="15"/>
        <v>5400</v>
      </c>
    </row>
    <row r="514" spans="1:8" x14ac:dyDescent="0.3">
      <c r="A514" s="2" t="str">
        <f t="shared" si="14"/>
        <v>Sep-2023</v>
      </c>
      <c r="B514" s="2">
        <v>45176.33955971065</v>
      </c>
      <c r="C514" s="5" t="s">
        <v>17</v>
      </c>
      <c r="D514" s="3">
        <v>6</v>
      </c>
      <c r="E514" s="4">
        <v>150</v>
      </c>
      <c r="F514" s="5" t="s">
        <v>24</v>
      </c>
      <c r="G514" s="5" t="s">
        <v>340</v>
      </c>
      <c r="H514" s="1">
        <f t="shared" si="15"/>
        <v>900</v>
      </c>
    </row>
    <row r="515" spans="1:8" x14ac:dyDescent="0.3">
      <c r="A515" s="2" t="str">
        <f t="shared" ref="A515:A578" si="16">TEXT(B515, "mmm-yyyy")</f>
        <v>Sep-2023</v>
      </c>
      <c r="B515" s="2">
        <v>45176.826551030092</v>
      </c>
      <c r="C515" s="5" t="s">
        <v>12</v>
      </c>
      <c r="D515" s="3">
        <v>5</v>
      </c>
      <c r="E515" s="4">
        <v>1200</v>
      </c>
      <c r="F515" s="5" t="s">
        <v>24</v>
      </c>
      <c r="G515" s="5" t="s">
        <v>341</v>
      </c>
      <c r="H515" s="1">
        <f t="shared" ref="H515:H578" si="17" xml:space="preserve"> D515 * E515</f>
        <v>6000</v>
      </c>
    </row>
    <row r="516" spans="1:8" x14ac:dyDescent="0.3">
      <c r="A516" s="2" t="str">
        <f t="shared" si="16"/>
        <v>Sep-2023</v>
      </c>
      <c r="B516" s="2">
        <v>45177.313542361109</v>
      </c>
      <c r="C516" s="5" t="s">
        <v>17</v>
      </c>
      <c r="D516" s="3">
        <v>1</v>
      </c>
      <c r="E516" s="4">
        <v>700</v>
      </c>
      <c r="F516" s="5" t="s">
        <v>10</v>
      </c>
      <c r="G516" s="5" t="s">
        <v>184</v>
      </c>
      <c r="H516" s="1">
        <f t="shared" si="17"/>
        <v>700</v>
      </c>
    </row>
    <row r="517" spans="1:8" x14ac:dyDescent="0.3">
      <c r="A517" s="2" t="str">
        <f t="shared" si="16"/>
        <v>Sep-2023</v>
      </c>
      <c r="B517" s="2">
        <v>45177.800533692127</v>
      </c>
      <c r="C517" s="5" t="s">
        <v>36</v>
      </c>
      <c r="D517" s="3">
        <v>3</v>
      </c>
      <c r="E517" s="4">
        <v>1200</v>
      </c>
      <c r="F517" s="5" t="s">
        <v>24</v>
      </c>
      <c r="G517" s="5" t="s">
        <v>220</v>
      </c>
      <c r="H517" s="1">
        <f t="shared" si="17"/>
        <v>3600</v>
      </c>
    </row>
    <row r="518" spans="1:8" x14ac:dyDescent="0.3">
      <c r="A518" s="2" t="str">
        <f t="shared" si="16"/>
        <v>Sep-2023</v>
      </c>
      <c r="B518" s="2">
        <v>45178.287525011576</v>
      </c>
      <c r="C518" s="5" t="s">
        <v>9</v>
      </c>
      <c r="D518" s="3">
        <v>3</v>
      </c>
      <c r="E518" s="4">
        <v>1800</v>
      </c>
      <c r="F518" s="5" t="s">
        <v>10</v>
      </c>
      <c r="G518" s="5" t="s">
        <v>102</v>
      </c>
      <c r="H518" s="1">
        <f t="shared" si="17"/>
        <v>5400</v>
      </c>
    </row>
    <row r="519" spans="1:8" x14ac:dyDescent="0.3">
      <c r="A519" s="2" t="str">
        <f t="shared" si="16"/>
        <v>Sep-2023</v>
      </c>
      <c r="B519" s="2">
        <v>45178.774516342593</v>
      </c>
      <c r="C519" s="5" t="s">
        <v>9</v>
      </c>
      <c r="D519" s="3">
        <v>4</v>
      </c>
      <c r="E519" s="4">
        <v>1800</v>
      </c>
      <c r="F519" s="5" t="s">
        <v>24</v>
      </c>
      <c r="G519" s="5" t="s">
        <v>342</v>
      </c>
      <c r="H519" s="1">
        <f t="shared" si="17"/>
        <v>7200</v>
      </c>
    </row>
    <row r="520" spans="1:8" x14ac:dyDescent="0.3">
      <c r="A520" s="2" t="str">
        <f t="shared" si="16"/>
        <v>Sep-2023</v>
      </c>
      <c r="B520" s="2">
        <v>45179.261507673611</v>
      </c>
      <c r="C520" s="5" t="s">
        <v>6</v>
      </c>
      <c r="D520" s="3">
        <v>2</v>
      </c>
      <c r="E520" s="4">
        <v>1800</v>
      </c>
      <c r="F520" s="5" t="s">
        <v>7</v>
      </c>
      <c r="G520" s="5" t="s">
        <v>279</v>
      </c>
      <c r="H520" s="1">
        <f t="shared" si="17"/>
        <v>3600</v>
      </c>
    </row>
    <row r="521" spans="1:8" x14ac:dyDescent="0.3">
      <c r="A521" s="2" t="str">
        <f t="shared" si="16"/>
        <v>Sep-2023</v>
      </c>
      <c r="B521" s="2">
        <v>45179.748499004629</v>
      </c>
      <c r="C521" s="5" t="s">
        <v>17</v>
      </c>
      <c r="D521" s="3">
        <v>3</v>
      </c>
      <c r="E521" s="4">
        <v>1200</v>
      </c>
      <c r="F521" s="5" t="s">
        <v>13</v>
      </c>
      <c r="G521" s="5" t="s">
        <v>343</v>
      </c>
      <c r="H521" s="1">
        <f t="shared" si="17"/>
        <v>3600</v>
      </c>
    </row>
    <row r="522" spans="1:8" x14ac:dyDescent="0.3">
      <c r="A522" s="2" t="str">
        <f t="shared" si="16"/>
        <v>Sep-2023</v>
      </c>
      <c r="B522" s="2">
        <v>45180.235490324078</v>
      </c>
      <c r="C522" s="5" t="s">
        <v>36</v>
      </c>
      <c r="D522" s="3">
        <v>3</v>
      </c>
      <c r="E522" s="4">
        <v>1800</v>
      </c>
      <c r="F522" s="5" t="s">
        <v>24</v>
      </c>
      <c r="G522" s="5" t="s">
        <v>97</v>
      </c>
      <c r="H522" s="1">
        <f t="shared" si="17"/>
        <v>5400</v>
      </c>
    </row>
    <row r="523" spans="1:8" x14ac:dyDescent="0.3">
      <c r="A523" s="2" t="str">
        <f t="shared" si="16"/>
        <v>Sep-2023</v>
      </c>
      <c r="B523" s="2">
        <v>45180.722481655095</v>
      </c>
      <c r="C523" s="5" t="s">
        <v>6</v>
      </c>
      <c r="D523" s="3">
        <v>5</v>
      </c>
      <c r="E523" s="4">
        <v>150</v>
      </c>
      <c r="F523" s="5" t="s">
        <v>7</v>
      </c>
      <c r="G523" s="5" t="s">
        <v>181</v>
      </c>
      <c r="H523" s="1">
        <f t="shared" si="17"/>
        <v>750</v>
      </c>
    </row>
    <row r="524" spans="1:8" x14ac:dyDescent="0.3">
      <c r="A524" s="2" t="str">
        <f t="shared" si="16"/>
        <v>Sep-2023</v>
      </c>
      <c r="B524" s="2">
        <v>45181.209472986113</v>
      </c>
      <c r="C524" s="5" t="s">
        <v>12</v>
      </c>
      <c r="D524" s="3">
        <v>5</v>
      </c>
      <c r="E524" s="4">
        <v>1800</v>
      </c>
      <c r="F524" s="5" t="s">
        <v>24</v>
      </c>
      <c r="G524" s="5" t="s">
        <v>344</v>
      </c>
      <c r="H524" s="1">
        <f t="shared" si="17"/>
        <v>9000</v>
      </c>
    </row>
    <row r="525" spans="1:8" x14ac:dyDescent="0.3">
      <c r="A525" s="2" t="str">
        <f t="shared" si="16"/>
        <v>Sep-2023</v>
      </c>
      <c r="B525" s="2">
        <v>45181.696464305554</v>
      </c>
      <c r="C525" s="5" t="s">
        <v>6</v>
      </c>
      <c r="D525" s="3">
        <v>6</v>
      </c>
      <c r="E525" s="4">
        <v>450</v>
      </c>
      <c r="F525" s="5" t="s">
        <v>24</v>
      </c>
      <c r="G525" s="5" t="s">
        <v>151</v>
      </c>
      <c r="H525" s="1">
        <f t="shared" si="17"/>
        <v>2700</v>
      </c>
    </row>
    <row r="526" spans="1:8" x14ac:dyDescent="0.3">
      <c r="A526" s="2" t="str">
        <f t="shared" si="16"/>
        <v>Sep-2023</v>
      </c>
      <c r="B526" s="2">
        <v>45182.183455636572</v>
      </c>
      <c r="C526" s="5" t="s">
        <v>6</v>
      </c>
      <c r="D526" s="3">
        <v>1</v>
      </c>
      <c r="E526" s="4">
        <v>1200</v>
      </c>
      <c r="F526" s="5" t="s">
        <v>24</v>
      </c>
      <c r="G526" s="5" t="s">
        <v>32</v>
      </c>
      <c r="H526" s="1">
        <f t="shared" si="17"/>
        <v>1200</v>
      </c>
    </row>
    <row r="527" spans="1:8" x14ac:dyDescent="0.3">
      <c r="A527" s="2" t="str">
        <f t="shared" si="16"/>
        <v>Sep-2023</v>
      </c>
      <c r="B527" s="2">
        <v>45182.67044696759</v>
      </c>
      <c r="C527" s="5" t="s">
        <v>17</v>
      </c>
      <c r="D527" s="3">
        <v>4</v>
      </c>
      <c r="E527" s="4">
        <v>450</v>
      </c>
      <c r="F527" s="5" t="s">
        <v>7</v>
      </c>
      <c r="G527" s="5" t="s">
        <v>343</v>
      </c>
      <c r="H527" s="1">
        <f t="shared" si="17"/>
        <v>1800</v>
      </c>
    </row>
    <row r="528" spans="1:8" x14ac:dyDescent="0.3">
      <c r="A528" s="2" t="str">
        <f t="shared" si="16"/>
        <v>Sep-2023</v>
      </c>
      <c r="B528" s="2">
        <v>45183.157438287039</v>
      </c>
      <c r="C528" s="5" t="s">
        <v>12</v>
      </c>
      <c r="D528" s="3">
        <v>1</v>
      </c>
      <c r="E528" s="4">
        <v>1800</v>
      </c>
      <c r="F528" s="5" t="s">
        <v>13</v>
      </c>
      <c r="G528" s="5" t="s">
        <v>19</v>
      </c>
      <c r="H528" s="1">
        <f t="shared" si="17"/>
        <v>1800</v>
      </c>
    </row>
    <row r="529" spans="1:8" x14ac:dyDescent="0.3">
      <c r="A529" s="2" t="str">
        <f t="shared" si="16"/>
        <v>Sep-2023</v>
      </c>
      <c r="B529" s="2">
        <v>45183.644429618056</v>
      </c>
      <c r="C529" s="5" t="s">
        <v>6</v>
      </c>
      <c r="D529" s="3">
        <v>6</v>
      </c>
      <c r="E529" s="4">
        <v>150</v>
      </c>
      <c r="F529" s="5" t="s">
        <v>7</v>
      </c>
      <c r="G529" s="5" t="s">
        <v>52</v>
      </c>
      <c r="H529" s="1">
        <f t="shared" si="17"/>
        <v>900</v>
      </c>
    </row>
    <row r="530" spans="1:8" x14ac:dyDescent="0.3">
      <c r="A530" s="2" t="str">
        <f t="shared" si="16"/>
        <v>Sep-2023</v>
      </c>
      <c r="B530" s="2">
        <v>45184.131420949074</v>
      </c>
      <c r="C530" s="5" t="s">
        <v>36</v>
      </c>
      <c r="D530" s="3">
        <v>5</v>
      </c>
      <c r="E530" s="4">
        <v>700</v>
      </c>
      <c r="F530" s="5" t="s">
        <v>13</v>
      </c>
      <c r="G530" s="5" t="s">
        <v>138</v>
      </c>
      <c r="H530" s="1">
        <f t="shared" si="17"/>
        <v>3500</v>
      </c>
    </row>
    <row r="531" spans="1:8" x14ac:dyDescent="0.3">
      <c r="A531" s="2" t="str">
        <f t="shared" si="16"/>
        <v>Sep-2023</v>
      </c>
      <c r="B531" s="2">
        <v>45184.618412280091</v>
      </c>
      <c r="C531" s="5" t="s">
        <v>36</v>
      </c>
      <c r="D531" s="3">
        <v>2</v>
      </c>
      <c r="E531" s="4">
        <v>3500</v>
      </c>
      <c r="F531" s="5" t="s">
        <v>24</v>
      </c>
      <c r="G531" s="5" t="s">
        <v>73</v>
      </c>
      <c r="H531" s="1">
        <f t="shared" si="17"/>
        <v>7000</v>
      </c>
    </row>
    <row r="532" spans="1:8" x14ac:dyDescent="0.3">
      <c r="A532" s="2" t="str">
        <f t="shared" si="16"/>
        <v>Sep-2023</v>
      </c>
      <c r="B532" s="2">
        <v>45185.10540359954</v>
      </c>
      <c r="C532" s="5" t="s">
        <v>9</v>
      </c>
      <c r="D532" s="3">
        <v>5</v>
      </c>
      <c r="E532" s="4">
        <v>3500</v>
      </c>
      <c r="F532" s="5" t="s">
        <v>10</v>
      </c>
      <c r="G532" s="5" t="s">
        <v>42</v>
      </c>
      <c r="H532" s="1">
        <f t="shared" si="17"/>
        <v>17500</v>
      </c>
    </row>
    <row r="533" spans="1:8" x14ac:dyDescent="0.3">
      <c r="A533" s="2" t="str">
        <f t="shared" si="16"/>
        <v>Sep-2023</v>
      </c>
      <c r="B533" s="2">
        <v>45185.592394930558</v>
      </c>
      <c r="C533" s="5" t="s">
        <v>12</v>
      </c>
      <c r="D533" s="3">
        <v>4</v>
      </c>
      <c r="E533" s="4">
        <v>1800</v>
      </c>
      <c r="F533" s="5" t="s">
        <v>24</v>
      </c>
      <c r="G533" s="5" t="s">
        <v>168</v>
      </c>
      <c r="H533" s="1">
        <f t="shared" si="17"/>
        <v>7200</v>
      </c>
    </row>
    <row r="534" spans="1:8" x14ac:dyDescent="0.3">
      <c r="A534" s="2" t="str">
        <f t="shared" si="16"/>
        <v>Sep-2023</v>
      </c>
      <c r="B534" s="2">
        <v>45186.079386261576</v>
      </c>
      <c r="C534" s="5" t="s">
        <v>12</v>
      </c>
      <c r="D534" s="3">
        <v>5</v>
      </c>
      <c r="E534" s="4">
        <v>150</v>
      </c>
      <c r="F534" s="5" t="s">
        <v>13</v>
      </c>
      <c r="G534" s="5" t="s">
        <v>345</v>
      </c>
      <c r="H534" s="1">
        <f t="shared" si="17"/>
        <v>750</v>
      </c>
    </row>
    <row r="535" spans="1:8" x14ac:dyDescent="0.3">
      <c r="A535" s="2" t="str">
        <f t="shared" si="16"/>
        <v>Sep-2023</v>
      </c>
      <c r="B535" s="2">
        <v>45186.566377581017</v>
      </c>
      <c r="C535" s="5" t="s">
        <v>9</v>
      </c>
      <c r="D535" s="3">
        <v>4</v>
      </c>
      <c r="E535" s="4">
        <v>1200</v>
      </c>
      <c r="F535" s="5" t="s">
        <v>7</v>
      </c>
      <c r="G535" s="5" t="s">
        <v>121</v>
      </c>
      <c r="H535" s="1">
        <f t="shared" si="17"/>
        <v>4800</v>
      </c>
    </row>
    <row r="536" spans="1:8" x14ac:dyDescent="0.3">
      <c r="A536" s="2" t="str">
        <f t="shared" si="16"/>
        <v>Sep-2023</v>
      </c>
      <c r="B536" s="2">
        <v>45187.053368912035</v>
      </c>
      <c r="C536" s="5" t="s">
        <v>6</v>
      </c>
      <c r="D536" s="3">
        <v>4</v>
      </c>
      <c r="E536" s="4">
        <v>450</v>
      </c>
      <c r="F536" s="5" t="s">
        <v>24</v>
      </c>
      <c r="G536" s="5" t="s">
        <v>41</v>
      </c>
      <c r="H536" s="1">
        <f t="shared" si="17"/>
        <v>1800</v>
      </c>
    </row>
    <row r="537" spans="1:8" x14ac:dyDescent="0.3">
      <c r="A537" s="2" t="str">
        <f t="shared" si="16"/>
        <v>Sep-2023</v>
      </c>
      <c r="B537" s="2">
        <v>45187.540360243052</v>
      </c>
      <c r="C537" s="5" t="s">
        <v>12</v>
      </c>
      <c r="D537" s="3">
        <v>4</v>
      </c>
      <c r="E537" s="4">
        <v>450</v>
      </c>
      <c r="F537" s="5" t="s">
        <v>7</v>
      </c>
      <c r="G537" s="5" t="s">
        <v>294</v>
      </c>
      <c r="H537" s="1">
        <f t="shared" si="17"/>
        <v>1800</v>
      </c>
    </row>
    <row r="538" spans="1:8" x14ac:dyDescent="0.3">
      <c r="A538" s="2" t="str">
        <f t="shared" si="16"/>
        <v>Sep-2023</v>
      </c>
      <c r="B538" s="2">
        <v>45188.027351562501</v>
      </c>
      <c r="C538" s="5" t="s">
        <v>36</v>
      </c>
      <c r="D538" s="3">
        <v>6</v>
      </c>
      <c r="E538" s="4">
        <v>450</v>
      </c>
      <c r="F538" s="5" t="s">
        <v>7</v>
      </c>
      <c r="G538" s="5" t="s">
        <v>260</v>
      </c>
      <c r="H538" s="1">
        <f t="shared" si="17"/>
        <v>2700</v>
      </c>
    </row>
    <row r="539" spans="1:8" x14ac:dyDescent="0.3">
      <c r="A539" s="2" t="str">
        <f t="shared" si="16"/>
        <v>Sep-2023</v>
      </c>
      <c r="B539" s="2">
        <v>45188.514342893519</v>
      </c>
      <c r="C539" s="5" t="s">
        <v>36</v>
      </c>
      <c r="D539" s="3">
        <v>4</v>
      </c>
      <c r="E539" s="4">
        <v>1200</v>
      </c>
      <c r="F539" s="5" t="s">
        <v>7</v>
      </c>
      <c r="G539" s="5" t="s">
        <v>254</v>
      </c>
      <c r="H539" s="1">
        <f t="shared" si="17"/>
        <v>4800</v>
      </c>
    </row>
    <row r="540" spans="1:8" x14ac:dyDescent="0.3">
      <c r="A540" s="2" t="str">
        <f t="shared" si="16"/>
        <v>Sep-2023</v>
      </c>
      <c r="B540" s="2">
        <v>45189.001334224537</v>
      </c>
      <c r="C540" s="5" t="s">
        <v>17</v>
      </c>
      <c r="D540" s="3">
        <v>4</v>
      </c>
      <c r="E540" s="4">
        <v>3500</v>
      </c>
      <c r="F540" s="5" t="s">
        <v>24</v>
      </c>
      <c r="G540" s="5" t="s">
        <v>180</v>
      </c>
      <c r="H540" s="1">
        <f t="shared" si="17"/>
        <v>14000</v>
      </c>
    </row>
    <row r="541" spans="1:8" x14ac:dyDescent="0.3">
      <c r="A541" s="2" t="str">
        <f t="shared" si="16"/>
        <v>Sep-2023</v>
      </c>
      <c r="B541" s="2">
        <v>45189.488325555554</v>
      </c>
      <c r="C541" s="5" t="s">
        <v>12</v>
      </c>
      <c r="D541" s="3">
        <v>2</v>
      </c>
      <c r="E541" s="4">
        <v>150</v>
      </c>
      <c r="F541" s="5" t="s">
        <v>7</v>
      </c>
      <c r="G541" s="5" t="s">
        <v>128</v>
      </c>
      <c r="H541" s="1">
        <f t="shared" si="17"/>
        <v>300</v>
      </c>
    </row>
    <row r="542" spans="1:8" x14ac:dyDescent="0.3">
      <c r="A542" s="2" t="str">
        <f t="shared" si="16"/>
        <v>Sep-2023</v>
      </c>
      <c r="B542" s="2">
        <v>45189.975316875003</v>
      </c>
      <c r="C542" s="5" t="s">
        <v>6</v>
      </c>
      <c r="D542" s="3">
        <v>1</v>
      </c>
      <c r="E542" s="4">
        <v>1200</v>
      </c>
      <c r="F542" s="5" t="s">
        <v>7</v>
      </c>
      <c r="G542" s="5" t="s">
        <v>346</v>
      </c>
      <c r="H542" s="1">
        <f t="shared" si="17"/>
        <v>1200</v>
      </c>
    </row>
    <row r="543" spans="1:8" x14ac:dyDescent="0.3">
      <c r="A543" s="2" t="str">
        <f t="shared" si="16"/>
        <v>Sep-2023</v>
      </c>
      <c r="B543" s="2">
        <v>45190.462308206021</v>
      </c>
      <c r="C543" s="5" t="s">
        <v>9</v>
      </c>
      <c r="D543" s="3">
        <v>3</v>
      </c>
      <c r="E543" s="4">
        <v>450</v>
      </c>
      <c r="F543" s="5" t="s">
        <v>24</v>
      </c>
      <c r="G543" s="5" t="s">
        <v>155</v>
      </c>
      <c r="H543" s="1">
        <f t="shared" si="17"/>
        <v>1350</v>
      </c>
    </row>
    <row r="544" spans="1:8" x14ac:dyDescent="0.3">
      <c r="A544" s="2" t="str">
        <f t="shared" si="16"/>
        <v>Sep-2023</v>
      </c>
      <c r="B544" s="2">
        <v>45190.949299537038</v>
      </c>
      <c r="C544" s="5" t="s">
        <v>9</v>
      </c>
      <c r="D544" s="3">
        <v>1</v>
      </c>
      <c r="E544" s="4">
        <v>1800</v>
      </c>
      <c r="F544" s="5" t="s">
        <v>7</v>
      </c>
      <c r="G544" s="5" t="s">
        <v>347</v>
      </c>
      <c r="H544" s="1">
        <f t="shared" si="17"/>
        <v>1800</v>
      </c>
    </row>
    <row r="545" spans="1:8" x14ac:dyDescent="0.3">
      <c r="A545" s="2" t="str">
        <f t="shared" si="16"/>
        <v>Sep-2023</v>
      </c>
      <c r="B545" s="2">
        <v>45191.43629085648</v>
      </c>
      <c r="C545" s="5" t="s">
        <v>6</v>
      </c>
      <c r="D545" s="3">
        <v>4</v>
      </c>
      <c r="E545" s="4">
        <v>700</v>
      </c>
      <c r="F545" s="5" t="s">
        <v>24</v>
      </c>
      <c r="G545" s="5" t="s">
        <v>348</v>
      </c>
      <c r="H545" s="1">
        <f t="shared" si="17"/>
        <v>2800</v>
      </c>
    </row>
    <row r="546" spans="1:8" x14ac:dyDescent="0.3">
      <c r="A546" s="2" t="str">
        <f t="shared" si="16"/>
        <v>Sep-2023</v>
      </c>
      <c r="B546" s="2">
        <v>45191.923282187498</v>
      </c>
      <c r="C546" s="5" t="s">
        <v>26</v>
      </c>
      <c r="D546" s="3">
        <v>2</v>
      </c>
      <c r="E546" s="4">
        <v>1200</v>
      </c>
      <c r="F546" s="5" t="s">
        <v>13</v>
      </c>
      <c r="G546" s="5" t="s">
        <v>63</v>
      </c>
      <c r="H546" s="1">
        <f t="shared" si="17"/>
        <v>2400</v>
      </c>
    </row>
    <row r="547" spans="1:8" x14ac:dyDescent="0.3">
      <c r="A547" s="2" t="str">
        <f t="shared" si="16"/>
        <v>Sep-2023</v>
      </c>
      <c r="B547" s="2">
        <v>45192.410273518515</v>
      </c>
      <c r="C547" s="5" t="s">
        <v>17</v>
      </c>
      <c r="D547" s="3">
        <v>5</v>
      </c>
      <c r="E547" s="4">
        <v>1200</v>
      </c>
      <c r="F547" s="5" t="s">
        <v>13</v>
      </c>
      <c r="G547" s="5" t="s">
        <v>218</v>
      </c>
      <c r="H547" s="1">
        <f t="shared" si="17"/>
        <v>6000</v>
      </c>
    </row>
    <row r="548" spans="1:8" x14ac:dyDescent="0.3">
      <c r="A548" s="2" t="str">
        <f t="shared" si="16"/>
        <v>Sep-2023</v>
      </c>
      <c r="B548" s="2">
        <v>45192.897264837964</v>
      </c>
      <c r="C548" s="5" t="s">
        <v>9</v>
      </c>
      <c r="D548" s="3">
        <v>2</v>
      </c>
      <c r="E548" s="4">
        <v>150</v>
      </c>
      <c r="F548" s="5" t="s">
        <v>13</v>
      </c>
      <c r="G548" s="5" t="s">
        <v>349</v>
      </c>
      <c r="H548" s="1">
        <f t="shared" si="17"/>
        <v>300</v>
      </c>
    </row>
    <row r="549" spans="1:8" x14ac:dyDescent="0.3">
      <c r="A549" s="2" t="str">
        <f t="shared" si="16"/>
        <v>Sep-2023</v>
      </c>
      <c r="B549" s="2">
        <v>45193.384256168982</v>
      </c>
      <c r="C549" s="5" t="s">
        <v>12</v>
      </c>
      <c r="D549" s="3">
        <v>4</v>
      </c>
      <c r="E549" s="4">
        <v>150</v>
      </c>
      <c r="F549" s="5" t="s">
        <v>7</v>
      </c>
      <c r="G549" s="5" t="s">
        <v>330</v>
      </c>
      <c r="H549" s="1">
        <f t="shared" si="17"/>
        <v>600</v>
      </c>
    </row>
    <row r="550" spans="1:8" x14ac:dyDescent="0.3">
      <c r="A550" s="2" t="str">
        <f t="shared" si="16"/>
        <v>Sep-2023</v>
      </c>
      <c r="B550" s="2">
        <v>45193.871247499999</v>
      </c>
      <c r="C550" s="5" t="s">
        <v>17</v>
      </c>
      <c r="D550" s="3">
        <v>2</v>
      </c>
      <c r="E550" s="4">
        <v>1200</v>
      </c>
      <c r="F550" s="5" t="s">
        <v>10</v>
      </c>
      <c r="G550" s="5" t="s">
        <v>336</v>
      </c>
      <c r="H550" s="1">
        <f t="shared" si="17"/>
        <v>2400</v>
      </c>
    </row>
    <row r="551" spans="1:8" x14ac:dyDescent="0.3">
      <c r="A551" s="2" t="str">
        <f t="shared" si="16"/>
        <v>Sep-2023</v>
      </c>
      <c r="B551" s="2">
        <v>45194.358238831017</v>
      </c>
      <c r="C551" s="5" t="s">
        <v>12</v>
      </c>
      <c r="D551" s="3">
        <v>2</v>
      </c>
      <c r="E551" s="4">
        <v>450</v>
      </c>
      <c r="F551" s="5" t="s">
        <v>10</v>
      </c>
      <c r="G551" s="5" t="s">
        <v>105</v>
      </c>
      <c r="H551" s="1">
        <f t="shared" si="17"/>
        <v>900</v>
      </c>
    </row>
    <row r="552" spans="1:8" x14ac:dyDescent="0.3">
      <c r="A552" s="2" t="str">
        <f t="shared" si="16"/>
        <v>Sep-2023</v>
      </c>
      <c r="B552" s="2">
        <v>45194.845230150466</v>
      </c>
      <c r="C552" s="5" t="s">
        <v>36</v>
      </c>
      <c r="D552" s="3">
        <v>4</v>
      </c>
      <c r="E552" s="4">
        <v>700</v>
      </c>
      <c r="F552" s="5" t="s">
        <v>7</v>
      </c>
      <c r="G552" s="5" t="s">
        <v>350</v>
      </c>
      <c r="H552" s="1">
        <f t="shared" si="17"/>
        <v>2800</v>
      </c>
    </row>
    <row r="553" spans="1:8" x14ac:dyDescent="0.3">
      <c r="A553" s="2" t="str">
        <f t="shared" si="16"/>
        <v>Sep-2023</v>
      </c>
      <c r="B553" s="2">
        <v>45195.332221481483</v>
      </c>
      <c r="C553" s="5" t="s">
        <v>17</v>
      </c>
      <c r="D553" s="3">
        <v>6</v>
      </c>
      <c r="E553" s="4">
        <v>150</v>
      </c>
      <c r="F553" s="5" t="s">
        <v>10</v>
      </c>
      <c r="G553" s="5" t="s">
        <v>289</v>
      </c>
      <c r="H553" s="1">
        <f t="shared" si="17"/>
        <v>900</v>
      </c>
    </row>
    <row r="554" spans="1:8" x14ac:dyDescent="0.3">
      <c r="A554" s="2" t="str">
        <f t="shared" si="16"/>
        <v>Sep-2023</v>
      </c>
      <c r="B554" s="2">
        <v>45195.819212812501</v>
      </c>
      <c r="C554" s="5" t="s">
        <v>9</v>
      </c>
      <c r="D554" s="3">
        <v>2</v>
      </c>
      <c r="E554" s="4">
        <v>450</v>
      </c>
      <c r="F554" s="5" t="s">
        <v>24</v>
      </c>
      <c r="G554" s="5" t="s">
        <v>273</v>
      </c>
      <c r="H554" s="1">
        <f t="shared" si="17"/>
        <v>900</v>
      </c>
    </row>
    <row r="555" spans="1:8" x14ac:dyDescent="0.3">
      <c r="A555" s="2" t="str">
        <f t="shared" si="16"/>
        <v>Sep-2023</v>
      </c>
      <c r="B555" s="2">
        <v>45196.306204131943</v>
      </c>
      <c r="C555" s="5" t="s">
        <v>17</v>
      </c>
      <c r="D555" s="3">
        <v>3</v>
      </c>
      <c r="E555" s="4">
        <v>1800</v>
      </c>
      <c r="F555" s="5" t="s">
        <v>10</v>
      </c>
      <c r="G555" s="5" t="s">
        <v>351</v>
      </c>
      <c r="H555" s="1">
        <f t="shared" si="17"/>
        <v>5400</v>
      </c>
    </row>
    <row r="556" spans="1:8" x14ac:dyDescent="0.3">
      <c r="A556" s="2" t="str">
        <f t="shared" si="16"/>
        <v>Sep-2023</v>
      </c>
      <c r="B556" s="2">
        <v>45196.79319546296</v>
      </c>
      <c r="C556" s="5" t="s">
        <v>17</v>
      </c>
      <c r="D556" s="3">
        <v>3</v>
      </c>
      <c r="E556" s="4">
        <v>150</v>
      </c>
      <c r="F556" s="5" t="s">
        <v>7</v>
      </c>
      <c r="G556" s="5" t="s">
        <v>319</v>
      </c>
      <c r="H556" s="1">
        <f t="shared" si="17"/>
        <v>450</v>
      </c>
    </row>
    <row r="557" spans="1:8" x14ac:dyDescent="0.3">
      <c r="A557" s="2" t="str">
        <f t="shared" si="16"/>
        <v>Sep-2023</v>
      </c>
      <c r="B557" s="2">
        <v>45197.280186793978</v>
      </c>
      <c r="C557" s="5" t="s">
        <v>17</v>
      </c>
      <c r="D557" s="3">
        <v>2</v>
      </c>
      <c r="E557" s="4">
        <v>450</v>
      </c>
      <c r="F557" s="5" t="s">
        <v>7</v>
      </c>
      <c r="G557" s="5" t="s">
        <v>352</v>
      </c>
      <c r="H557" s="1">
        <f t="shared" si="17"/>
        <v>900</v>
      </c>
    </row>
    <row r="558" spans="1:8" x14ac:dyDescent="0.3">
      <c r="A558" s="2" t="str">
        <f t="shared" si="16"/>
        <v>Sep-2023</v>
      </c>
      <c r="B558" s="2">
        <v>45197.767178113427</v>
      </c>
      <c r="C558" s="5" t="s">
        <v>26</v>
      </c>
      <c r="D558" s="3">
        <v>6</v>
      </c>
      <c r="E558" s="4">
        <v>450</v>
      </c>
      <c r="F558" s="5" t="s">
        <v>24</v>
      </c>
      <c r="G558" s="5" t="s">
        <v>353</v>
      </c>
      <c r="H558" s="1">
        <f t="shared" si="17"/>
        <v>2700</v>
      </c>
    </row>
    <row r="559" spans="1:8" x14ac:dyDescent="0.3">
      <c r="A559" s="2" t="str">
        <f t="shared" si="16"/>
        <v>Sep-2023</v>
      </c>
      <c r="B559" s="2">
        <v>45198.254169444444</v>
      </c>
      <c r="C559" s="5" t="s">
        <v>17</v>
      </c>
      <c r="D559" s="3">
        <v>5</v>
      </c>
      <c r="E559" s="4">
        <v>700</v>
      </c>
      <c r="F559" s="5" t="s">
        <v>13</v>
      </c>
      <c r="G559" s="5" t="s">
        <v>133</v>
      </c>
      <c r="H559" s="1">
        <f t="shared" si="17"/>
        <v>3500</v>
      </c>
    </row>
    <row r="560" spans="1:8" x14ac:dyDescent="0.3">
      <c r="A560" s="2" t="str">
        <f t="shared" si="16"/>
        <v>Sep-2023</v>
      </c>
      <c r="B560" s="2">
        <v>45198.741160775462</v>
      </c>
      <c r="C560" s="5" t="s">
        <v>12</v>
      </c>
      <c r="D560" s="3">
        <v>4</v>
      </c>
      <c r="E560" s="4">
        <v>700</v>
      </c>
      <c r="F560" s="5" t="s">
        <v>7</v>
      </c>
      <c r="G560" s="5" t="s">
        <v>348</v>
      </c>
      <c r="H560" s="1">
        <f t="shared" si="17"/>
        <v>2800</v>
      </c>
    </row>
    <row r="561" spans="1:8" x14ac:dyDescent="0.3">
      <c r="A561" s="2" t="str">
        <f t="shared" si="16"/>
        <v>Sep-2023</v>
      </c>
      <c r="B561" s="2">
        <v>45199.22815210648</v>
      </c>
      <c r="C561" s="5" t="s">
        <v>36</v>
      </c>
      <c r="D561" s="3">
        <v>3</v>
      </c>
      <c r="E561" s="4">
        <v>1800</v>
      </c>
      <c r="F561" s="5" t="s">
        <v>24</v>
      </c>
      <c r="G561" s="5" t="s">
        <v>354</v>
      </c>
      <c r="H561" s="1">
        <f t="shared" si="17"/>
        <v>5400</v>
      </c>
    </row>
    <row r="562" spans="1:8" x14ac:dyDescent="0.3">
      <c r="A562" s="2" t="str">
        <f t="shared" si="16"/>
        <v>Sep-2023</v>
      </c>
      <c r="B562" s="2">
        <v>45199.715143425929</v>
      </c>
      <c r="C562" s="5" t="s">
        <v>6</v>
      </c>
      <c r="D562" s="3">
        <v>5</v>
      </c>
      <c r="E562" s="4">
        <v>450</v>
      </c>
      <c r="F562" s="5" t="s">
        <v>10</v>
      </c>
      <c r="G562" s="5" t="s">
        <v>304</v>
      </c>
      <c r="H562" s="1">
        <f t="shared" si="17"/>
        <v>2250</v>
      </c>
    </row>
    <row r="563" spans="1:8" x14ac:dyDescent="0.3">
      <c r="A563" s="2" t="str">
        <f t="shared" si="16"/>
        <v>Oct-2023</v>
      </c>
      <c r="B563" s="2">
        <v>45200.202134756946</v>
      </c>
      <c r="C563" s="5" t="s">
        <v>17</v>
      </c>
      <c r="D563" s="3">
        <v>2</v>
      </c>
      <c r="E563" s="4">
        <v>3500</v>
      </c>
      <c r="F563" s="5" t="s">
        <v>10</v>
      </c>
      <c r="G563" s="5" t="s">
        <v>355</v>
      </c>
      <c r="H563" s="1">
        <f t="shared" si="17"/>
        <v>7000</v>
      </c>
    </row>
    <row r="564" spans="1:8" x14ac:dyDescent="0.3">
      <c r="A564" s="2" t="str">
        <f t="shared" si="16"/>
        <v>Oct-2023</v>
      </c>
      <c r="B564" s="2">
        <v>45200.689126087964</v>
      </c>
      <c r="C564" s="5" t="s">
        <v>9</v>
      </c>
      <c r="D564" s="3">
        <v>5</v>
      </c>
      <c r="E564" s="4">
        <v>450</v>
      </c>
      <c r="F564" s="5" t="s">
        <v>24</v>
      </c>
      <c r="G564" s="5" t="s">
        <v>356</v>
      </c>
      <c r="H564" s="1">
        <f t="shared" si="17"/>
        <v>2250</v>
      </c>
    </row>
    <row r="565" spans="1:8" x14ac:dyDescent="0.3">
      <c r="A565" s="2" t="str">
        <f t="shared" si="16"/>
        <v>Oct-2023</v>
      </c>
      <c r="B565" s="2">
        <v>45201.176117407405</v>
      </c>
      <c r="C565" s="5" t="s">
        <v>17</v>
      </c>
      <c r="D565" s="3">
        <v>1</v>
      </c>
      <c r="E565" s="4">
        <v>700</v>
      </c>
      <c r="F565" s="5" t="s">
        <v>24</v>
      </c>
      <c r="G565" s="5" t="s">
        <v>233</v>
      </c>
      <c r="H565" s="1">
        <f t="shared" si="17"/>
        <v>700</v>
      </c>
    </row>
    <row r="566" spans="1:8" x14ac:dyDescent="0.3">
      <c r="A566" s="2" t="str">
        <f t="shared" si="16"/>
        <v>Oct-2023</v>
      </c>
      <c r="B566" s="2">
        <v>45201.663108738423</v>
      </c>
      <c r="C566" s="5" t="s">
        <v>9</v>
      </c>
      <c r="D566" s="3">
        <v>3</v>
      </c>
      <c r="E566" s="4">
        <v>3500</v>
      </c>
      <c r="F566" s="5" t="s">
        <v>7</v>
      </c>
      <c r="G566" s="5" t="s">
        <v>357</v>
      </c>
      <c r="H566" s="1">
        <f t="shared" si="17"/>
        <v>10500</v>
      </c>
    </row>
    <row r="567" spans="1:8" x14ac:dyDescent="0.3">
      <c r="A567" s="2" t="str">
        <f t="shared" si="16"/>
        <v>Oct-2023</v>
      </c>
      <c r="B567" s="2">
        <v>45202.150100069448</v>
      </c>
      <c r="C567" s="5" t="s">
        <v>12</v>
      </c>
      <c r="D567" s="3">
        <v>2</v>
      </c>
      <c r="E567" s="4">
        <v>150</v>
      </c>
      <c r="F567" s="5" t="s">
        <v>10</v>
      </c>
      <c r="G567" s="5" t="s">
        <v>358</v>
      </c>
      <c r="H567" s="1">
        <f t="shared" si="17"/>
        <v>300</v>
      </c>
    </row>
    <row r="568" spans="1:8" x14ac:dyDescent="0.3">
      <c r="A568" s="2" t="str">
        <f t="shared" si="16"/>
        <v>Oct-2023</v>
      </c>
      <c r="B568" s="2">
        <v>45202.63709138889</v>
      </c>
      <c r="C568" s="5" t="s">
        <v>9</v>
      </c>
      <c r="D568" s="3">
        <v>4</v>
      </c>
      <c r="E568" s="4">
        <v>150</v>
      </c>
      <c r="F568" s="5" t="s">
        <v>24</v>
      </c>
      <c r="G568" s="5" t="s">
        <v>359</v>
      </c>
      <c r="H568" s="1">
        <f t="shared" si="17"/>
        <v>600</v>
      </c>
    </row>
    <row r="569" spans="1:8" x14ac:dyDescent="0.3">
      <c r="A569" s="2" t="str">
        <f t="shared" si="16"/>
        <v>Oct-2023</v>
      </c>
      <c r="B569" s="2">
        <v>45203.124082719907</v>
      </c>
      <c r="C569" s="5" t="s">
        <v>6</v>
      </c>
      <c r="D569" s="3">
        <v>6</v>
      </c>
      <c r="E569" s="4">
        <v>1200</v>
      </c>
      <c r="F569" s="5" t="s">
        <v>10</v>
      </c>
      <c r="G569" s="5" t="s">
        <v>326</v>
      </c>
      <c r="H569" s="1">
        <f t="shared" si="17"/>
        <v>7200</v>
      </c>
    </row>
    <row r="570" spans="1:8" x14ac:dyDescent="0.3">
      <c r="A570" s="2" t="str">
        <f t="shared" si="16"/>
        <v>Oct-2023</v>
      </c>
      <c r="B570" s="2">
        <v>45203.611074050925</v>
      </c>
      <c r="C570" s="5" t="s">
        <v>36</v>
      </c>
      <c r="D570" s="3">
        <v>2</v>
      </c>
      <c r="E570" s="4">
        <v>700</v>
      </c>
      <c r="F570" s="5" t="s">
        <v>24</v>
      </c>
      <c r="G570" s="5" t="s">
        <v>213</v>
      </c>
      <c r="H570" s="1">
        <f t="shared" si="17"/>
        <v>1400</v>
      </c>
    </row>
    <row r="571" spans="1:8" x14ac:dyDescent="0.3">
      <c r="A571" s="2" t="str">
        <f t="shared" si="16"/>
        <v>Oct-2023</v>
      </c>
      <c r="B571" s="2">
        <v>45204.098065381942</v>
      </c>
      <c r="C571" s="5" t="s">
        <v>9</v>
      </c>
      <c r="D571" s="3">
        <v>4</v>
      </c>
      <c r="E571" s="4">
        <v>1200</v>
      </c>
      <c r="F571" s="5" t="s">
        <v>10</v>
      </c>
      <c r="G571" s="5" t="s">
        <v>267</v>
      </c>
      <c r="H571" s="1">
        <f t="shared" si="17"/>
        <v>4800</v>
      </c>
    </row>
    <row r="572" spans="1:8" x14ac:dyDescent="0.3">
      <c r="A572" s="2" t="str">
        <f t="shared" si="16"/>
        <v>Oct-2023</v>
      </c>
      <c r="B572" s="2">
        <v>45204.585056701391</v>
      </c>
      <c r="C572" s="5" t="s">
        <v>9</v>
      </c>
      <c r="D572" s="3">
        <v>6</v>
      </c>
      <c r="E572" s="4">
        <v>3500</v>
      </c>
      <c r="F572" s="5" t="s">
        <v>13</v>
      </c>
      <c r="G572" s="5" t="s">
        <v>156</v>
      </c>
      <c r="H572" s="1">
        <f t="shared" si="17"/>
        <v>21000</v>
      </c>
    </row>
    <row r="573" spans="1:8" x14ac:dyDescent="0.3">
      <c r="A573" s="2" t="str">
        <f t="shared" si="16"/>
        <v>Oct-2023</v>
      </c>
      <c r="B573" s="2">
        <v>45205.072048032409</v>
      </c>
      <c r="C573" s="5" t="s">
        <v>36</v>
      </c>
      <c r="D573" s="3">
        <v>6</v>
      </c>
      <c r="E573" s="4">
        <v>700</v>
      </c>
      <c r="F573" s="5" t="s">
        <v>7</v>
      </c>
      <c r="G573" s="5" t="s">
        <v>360</v>
      </c>
      <c r="H573" s="1">
        <f t="shared" si="17"/>
        <v>4200</v>
      </c>
    </row>
    <row r="574" spans="1:8" x14ac:dyDescent="0.3">
      <c r="A574" s="2" t="str">
        <f t="shared" si="16"/>
        <v>Oct-2023</v>
      </c>
      <c r="B574" s="2">
        <v>45205.559039363427</v>
      </c>
      <c r="C574" s="5" t="s">
        <v>6</v>
      </c>
      <c r="D574" s="3">
        <v>2</v>
      </c>
      <c r="E574" s="4">
        <v>1800</v>
      </c>
      <c r="F574" s="5" t="s">
        <v>10</v>
      </c>
      <c r="G574" s="5" t="s">
        <v>146</v>
      </c>
      <c r="H574" s="1">
        <f t="shared" si="17"/>
        <v>3600</v>
      </c>
    </row>
    <row r="575" spans="1:8" x14ac:dyDescent="0.3">
      <c r="A575" s="2" t="str">
        <f t="shared" si="16"/>
        <v>Oct-2023</v>
      </c>
      <c r="B575" s="2">
        <v>45206.046030682868</v>
      </c>
      <c r="C575" s="5" t="s">
        <v>17</v>
      </c>
      <c r="D575" s="3">
        <v>5</v>
      </c>
      <c r="E575" s="4">
        <v>450</v>
      </c>
      <c r="F575" s="5" t="s">
        <v>13</v>
      </c>
      <c r="G575" s="5" t="s">
        <v>251</v>
      </c>
      <c r="H575" s="1">
        <f t="shared" si="17"/>
        <v>2250</v>
      </c>
    </row>
    <row r="576" spans="1:8" x14ac:dyDescent="0.3">
      <c r="A576" s="2" t="str">
        <f t="shared" si="16"/>
        <v>Oct-2023</v>
      </c>
      <c r="B576" s="2">
        <v>45206.533022013886</v>
      </c>
      <c r="C576" s="5" t="s">
        <v>9</v>
      </c>
      <c r="D576" s="3">
        <v>5</v>
      </c>
      <c r="E576" s="4">
        <v>1800</v>
      </c>
      <c r="F576" s="5" t="s">
        <v>10</v>
      </c>
      <c r="G576" s="5" t="s">
        <v>350</v>
      </c>
      <c r="H576" s="1">
        <f t="shared" si="17"/>
        <v>9000</v>
      </c>
    </row>
    <row r="577" spans="1:8" x14ac:dyDescent="0.3">
      <c r="A577" s="2" t="str">
        <f t="shared" si="16"/>
        <v>Oct-2023</v>
      </c>
      <c r="B577" s="2">
        <v>45207.020013344911</v>
      </c>
      <c r="C577" s="5" t="s">
        <v>36</v>
      </c>
      <c r="D577" s="3">
        <v>6</v>
      </c>
      <c r="E577" s="4">
        <v>3500</v>
      </c>
      <c r="F577" s="5" t="s">
        <v>10</v>
      </c>
      <c r="G577" s="5" t="s">
        <v>75</v>
      </c>
      <c r="H577" s="1">
        <f t="shared" si="17"/>
        <v>21000</v>
      </c>
    </row>
    <row r="578" spans="1:8" x14ac:dyDescent="0.3">
      <c r="A578" s="2" t="str">
        <f t="shared" si="16"/>
        <v>Oct-2023</v>
      </c>
      <c r="B578" s="2">
        <v>45207.507004664352</v>
      </c>
      <c r="C578" s="5" t="s">
        <v>12</v>
      </c>
      <c r="D578" s="3">
        <v>5</v>
      </c>
      <c r="E578" s="4">
        <v>700</v>
      </c>
      <c r="F578" s="5" t="s">
        <v>13</v>
      </c>
      <c r="G578" s="5" t="s">
        <v>361</v>
      </c>
      <c r="H578" s="1">
        <f t="shared" si="17"/>
        <v>3500</v>
      </c>
    </row>
    <row r="579" spans="1:8" x14ac:dyDescent="0.3">
      <c r="A579" s="2" t="str">
        <f t="shared" ref="A579:A642" si="18">TEXT(B579, "mmm-yyyy")</f>
        <v>Oct-2023</v>
      </c>
      <c r="B579" s="2">
        <v>45207.99399599537</v>
      </c>
      <c r="C579" s="5" t="s">
        <v>36</v>
      </c>
      <c r="D579" s="3">
        <v>1</v>
      </c>
      <c r="E579" s="4">
        <v>3500</v>
      </c>
      <c r="F579" s="5" t="s">
        <v>10</v>
      </c>
      <c r="G579" s="5" t="s">
        <v>185</v>
      </c>
      <c r="H579" s="1">
        <f t="shared" ref="H579:H642" si="19" xml:space="preserve"> D579 * E579</f>
        <v>3500</v>
      </c>
    </row>
    <row r="580" spans="1:8" x14ac:dyDescent="0.3">
      <c r="A580" s="2" t="str">
        <f t="shared" si="18"/>
        <v>Oct-2023</v>
      </c>
      <c r="B580" s="2">
        <v>45208.480987326388</v>
      </c>
      <c r="C580" s="5" t="s">
        <v>12</v>
      </c>
      <c r="D580" s="3">
        <v>6</v>
      </c>
      <c r="E580" s="4">
        <v>450</v>
      </c>
      <c r="F580" s="5" t="s">
        <v>10</v>
      </c>
      <c r="G580" s="5" t="s">
        <v>362</v>
      </c>
      <c r="H580" s="1">
        <f t="shared" si="19"/>
        <v>2700</v>
      </c>
    </row>
    <row r="581" spans="1:8" x14ac:dyDescent="0.3">
      <c r="A581" s="2" t="str">
        <f t="shared" si="18"/>
        <v>Oct-2023</v>
      </c>
      <c r="B581" s="2">
        <v>45208.967978657405</v>
      </c>
      <c r="C581" s="5" t="s">
        <v>6</v>
      </c>
      <c r="D581" s="3">
        <v>6</v>
      </c>
      <c r="E581" s="4">
        <v>150</v>
      </c>
      <c r="F581" s="5" t="s">
        <v>7</v>
      </c>
      <c r="G581" s="5" t="s">
        <v>363</v>
      </c>
      <c r="H581" s="1">
        <f t="shared" si="19"/>
        <v>900</v>
      </c>
    </row>
    <row r="582" spans="1:8" x14ac:dyDescent="0.3">
      <c r="A582" s="2" t="str">
        <f t="shared" si="18"/>
        <v>Oct-2023</v>
      </c>
      <c r="B582" s="2">
        <v>45209.454969976854</v>
      </c>
      <c r="C582" s="5" t="s">
        <v>17</v>
      </c>
      <c r="D582" s="3">
        <v>4</v>
      </c>
      <c r="E582" s="4">
        <v>150</v>
      </c>
      <c r="F582" s="5" t="s">
        <v>13</v>
      </c>
      <c r="G582" s="5" t="s">
        <v>364</v>
      </c>
      <c r="H582" s="1">
        <f t="shared" si="19"/>
        <v>600</v>
      </c>
    </row>
    <row r="583" spans="1:8" x14ac:dyDescent="0.3">
      <c r="A583" s="2" t="str">
        <f t="shared" si="18"/>
        <v>Oct-2023</v>
      </c>
      <c r="B583" s="2">
        <v>45209.941961307872</v>
      </c>
      <c r="C583" s="5" t="s">
        <v>36</v>
      </c>
      <c r="D583" s="3">
        <v>5</v>
      </c>
      <c r="E583" s="4">
        <v>3500</v>
      </c>
      <c r="F583" s="5" t="s">
        <v>13</v>
      </c>
      <c r="G583" s="5" t="s">
        <v>263</v>
      </c>
      <c r="H583" s="1">
        <f t="shared" si="19"/>
        <v>17500</v>
      </c>
    </row>
    <row r="584" spans="1:8" x14ac:dyDescent="0.3">
      <c r="A584" s="2" t="str">
        <f t="shared" si="18"/>
        <v>Oct-2023</v>
      </c>
      <c r="B584" s="2">
        <v>45210.428952638889</v>
      </c>
      <c r="C584" s="5" t="s">
        <v>26</v>
      </c>
      <c r="D584" s="3">
        <v>6</v>
      </c>
      <c r="E584" s="4">
        <v>1200</v>
      </c>
      <c r="F584" s="5" t="s">
        <v>24</v>
      </c>
      <c r="G584" s="5" t="s">
        <v>360</v>
      </c>
      <c r="H584" s="1">
        <f t="shared" si="19"/>
        <v>7200</v>
      </c>
    </row>
    <row r="585" spans="1:8" x14ac:dyDescent="0.3">
      <c r="A585" s="2" t="str">
        <f t="shared" si="18"/>
        <v>Oct-2023</v>
      </c>
      <c r="B585" s="2">
        <v>45210.915943958331</v>
      </c>
      <c r="C585" s="5" t="s">
        <v>9</v>
      </c>
      <c r="D585" s="3">
        <v>1</v>
      </c>
      <c r="E585" s="4">
        <v>700</v>
      </c>
      <c r="F585" s="5" t="s">
        <v>10</v>
      </c>
      <c r="G585" s="5" t="s">
        <v>177</v>
      </c>
      <c r="H585" s="1">
        <f t="shared" si="19"/>
        <v>700</v>
      </c>
    </row>
    <row r="586" spans="1:8" x14ac:dyDescent="0.3">
      <c r="A586" s="2" t="str">
        <f t="shared" si="18"/>
        <v>Oct-2023</v>
      </c>
      <c r="B586" s="2">
        <v>45211.402935289349</v>
      </c>
      <c r="C586" s="5" t="s">
        <v>6</v>
      </c>
      <c r="D586" s="3">
        <v>4</v>
      </c>
      <c r="E586" s="4">
        <v>700</v>
      </c>
      <c r="F586" s="5" t="s">
        <v>7</v>
      </c>
      <c r="G586" s="5" t="s">
        <v>128</v>
      </c>
      <c r="H586" s="1">
        <f t="shared" si="19"/>
        <v>2800</v>
      </c>
    </row>
    <row r="587" spans="1:8" x14ac:dyDescent="0.3">
      <c r="A587" s="2" t="str">
        <f t="shared" si="18"/>
        <v>Oct-2023</v>
      </c>
      <c r="B587" s="2">
        <v>45211.889926620373</v>
      </c>
      <c r="C587" s="5" t="s">
        <v>36</v>
      </c>
      <c r="D587" s="3">
        <v>2</v>
      </c>
      <c r="E587" s="4">
        <v>150</v>
      </c>
      <c r="F587" s="5" t="s">
        <v>10</v>
      </c>
      <c r="G587" s="5" t="s">
        <v>105</v>
      </c>
      <c r="H587" s="1">
        <f t="shared" si="19"/>
        <v>300</v>
      </c>
    </row>
    <row r="588" spans="1:8" x14ac:dyDescent="0.3">
      <c r="A588" s="2" t="str">
        <f t="shared" si="18"/>
        <v>Oct-2023</v>
      </c>
      <c r="B588" s="2">
        <v>45212.376917939815</v>
      </c>
      <c r="C588" s="5" t="s">
        <v>9</v>
      </c>
      <c r="D588" s="3">
        <v>6</v>
      </c>
      <c r="E588" s="4">
        <v>1800</v>
      </c>
      <c r="F588" s="5" t="s">
        <v>10</v>
      </c>
      <c r="G588" s="5" t="s">
        <v>40</v>
      </c>
      <c r="H588" s="1">
        <f t="shared" si="19"/>
        <v>10800</v>
      </c>
    </row>
    <row r="589" spans="1:8" x14ac:dyDescent="0.3">
      <c r="A589" s="2" t="str">
        <f t="shared" si="18"/>
        <v>Oct-2023</v>
      </c>
      <c r="B589" s="2">
        <v>45212.863909270833</v>
      </c>
      <c r="C589" s="5" t="s">
        <v>36</v>
      </c>
      <c r="D589" s="3">
        <v>1</v>
      </c>
      <c r="E589" s="4">
        <v>450</v>
      </c>
      <c r="F589" s="5" t="s">
        <v>24</v>
      </c>
      <c r="G589" s="5" t="s">
        <v>365</v>
      </c>
      <c r="H589" s="1">
        <f t="shared" si="19"/>
        <v>450</v>
      </c>
    </row>
    <row r="590" spans="1:8" x14ac:dyDescent="0.3">
      <c r="A590" s="2" t="str">
        <f t="shared" si="18"/>
        <v>Oct-2023</v>
      </c>
      <c r="B590" s="2">
        <v>45213.35090060185</v>
      </c>
      <c r="C590" s="5" t="s">
        <v>12</v>
      </c>
      <c r="D590" s="3">
        <v>3</v>
      </c>
      <c r="E590" s="4">
        <v>1800</v>
      </c>
      <c r="F590" s="5" t="s">
        <v>10</v>
      </c>
      <c r="G590" s="5" t="s">
        <v>297</v>
      </c>
      <c r="H590" s="1">
        <f t="shared" si="19"/>
        <v>5400</v>
      </c>
    </row>
    <row r="591" spans="1:8" x14ac:dyDescent="0.3">
      <c r="A591" s="2" t="str">
        <f t="shared" si="18"/>
        <v>Oct-2023</v>
      </c>
      <c r="B591" s="2">
        <v>45213.837891932868</v>
      </c>
      <c r="C591" s="5" t="s">
        <v>36</v>
      </c>
      <c r="D591" s="3">
        <v>1</v>
      </c>
      <c r="E591" s="4">
        <v>1800</v>
      </c>
      <c r="F591" s="5" t="s">
        <v>7</v>
      </c>
      <c r="G591" s="5" t="s">
        <v>366</v>
      </c>
      <c r="H591" s="1">
        <f t="shared" si="19"/>
        <v>1800</v>
      </c>
    </row>
    <row r="592" spans="1:8" x14ac:dyDescent="0.3">
      <c r="A592" s="2" t="str">
        <f t="shared" si="18"/>
        <v>Oct-2023</v>
      </c>
      <c r="B592" s="2">
        <v>45214.324883252317</v>
      </c>
      <c r="C592" s="5" t="s">
        <v>26</v>
      </c>
      <c r="D592" s="3">
        <v>1</v>
      </c>
      <c r="E592" s="4">
        <v>3500</v>
      </c>
      <c r="F592" s="5" t="s">
        <v>7</v>
      </c>
      <c r="G592" s="5" t="s">
        <v>367</v>
      </c>
      <c r="H592" s="1">
        <f t="shared" si="19"/>
        <v>3500</v>
      </c>
    </row>
    <row r="593" spans="1:8" x14ac:dyDescent="0.3">
      <c r="A593" s="2" t="str">
        <f t="shared" si="18"/>
        <v>Oct-2023</v>
      </c>
      <c r="B593" s="2">
        <v>45214.811874583334</v>
      </c>
      <c r="C593" s="5" t="s">
        <v>36</v>
      </c>
      <c r="D593" s="3">
        <v>4</v>
      </c>
      <c r="E593" s="4">
        <v>150</v>
      </c>
      <c r="F593" s="5" t="s">
        <v>24</v>
      </c>
      <c r="G593" s="5" t="s">
        <v>223</v>
      </c>
      <c r="H593" s="1">
        <f t="shared" si="19"/>
        <v>600</v>
      </c>
    </row>
    <row r="594" spans="1:8" x14ac:dyDescent="0.3">
      <c r="A594" s="2" t="str">
        <f t="shared" si="18"/>
        <v>Oct-2023</v>
      </c>
      <c r="B594" s="2">
        <v>45215.298865914352</v>
      </c>
      <c r="C594" s="5" t="s">
        <v>36</v>
      </c>
      <c r="D594" s="3">
        <v>2</v>
      </c>
      <c r="E594" s="4">
        <v>150</v>
      </c>
      <c r="F594" s="5" t="s">
        <v>10</v>
      </c>
      <c r="G594" s="5" t="s">
        <v>368</v>
      </c>
      <c r="H594" s="1">
        <f t="shared" si="19"/>
        <v>300</v>
      </c>
    </row>
    <row r="595" spans="1:8" x14ac:dyDescent="0.3">
      <c r="A595" s="2" t="str">
        <f t="shared" si="18"/>
        <v>Oct-2023</v>
      </c>
      <c r="B595" s="2">
        <v>45215.785857233794</v>
      </c>
      <c r="C595" s="5" t="s">
        <v>26</v>
      </c>
      <c r="D595" s="3">
        <v>3</v>
      </c>
      <c r="E595" s="4">
        <v>150</v>
      </c>
      <c r="F595" s="5" t="s">
        <v>7</v>
      </c>
      <c r="G595" s="5" t="s">
        <v>111</v>
      </c>
      <c r="H595" s="1">
        <f t="shared" si="19"/>
        <v>450</v>
      </c>
    </row>
    <row r="596" spans="1:8" x14ac:dyDescent="0.3">
      <c r="A596" s="2" t="str">
        <f t="shared" si="18"/>
        <v>Oct-2023</v>
      </c>
      <c r="B596" s="2">
        <v>45216.272848564811</v>
      </c>
      <c r="C596" s="5" t="s">
        <v>6</v>
      </c>
      <c r="D596" s="3">
        <v>5</v>
      </c>
      <c r="E596" s="4">
        <v>3500</v>
      </c>
      <c r="F596" s="5" t="s">
        <v>10</v>
      </c>
      <c r="G596" s="5" t="s">
        <v>95</v>
      </c>
      <c r="H596" s="1">
        <f t="shared" si="19"/>
        <v>17500</v>
      </c>
    </row>
    <row r="597" spans="1:8" x14ac:dyDescent="0.3">
      <c r="A597" s="2" t="str">
        <f t="shared" si="18"/>
        <v>Oct-2023</v>
      </c>
      <c r="B597" s="2">
        <v>45216.759839895836</v>
      </c>
      <c r="C597" s="5" t="s">
        <v>36</v>
      </c>
      <c r="D597" s="3">
        <v>5</v>
      </c>
      <c r="E597" s="4">
        <v>1200</v>
      </c>
      <c r="F597" s="5" t="s">
        <v>10</v>
      </c>
      <c r="G597" s="5" t="s">
        <v>193</v>
      </c>
      <c r="H597" s="1">
        <f t="shared" si="19"/>
        <v>6000</v>
      </c>
    </row>
    <row r="598" spans="1:8" x14ac:dyDescent="0.3">
      <c r="A598" s="2" t="str">
        <f t="shared" si="18"/>
        <v>Oct-2023</v>
      </c>
      <c r="B598" s="2">
        <v>45217.246831215278</v>
      </c>
      <c r="C598" s="5" t="s">
        <v>26</v>
      </c>
      <c r="D598" s="3">
        <v>1</v>
      </c>
      <c r="E598" s="4">
        <v>1800</v>
      </c>
      <c r="F598" s="5" t="s">
        <v>10</v>
      </c>
      <c r="G598" s="5" t="s">
        <v>175</v>
      </c>
      <c r="H598" s="1">
        <f t="shared" si="19"/>
        <v>1800</v>
      </c>
    </row>
    <row r="599" spans="1:8" x14ac:dyDescent="0.3">
      <c r="A599" s="2" t="str">
        <f t="shared" si="18"/>
        <v>Oct-2023</v>
      </c>
      <c r="B599" s="2">
        <v>45217.733822546295</v>
      </c>
      <c r="C599" s="5" t="s">
        <v>9</v>
      </c>
      <c r="D599" s="3">
        <v>4</v>
      </c>
      <c r="E599" s="4">
        <v>3500</v>
      </c>
      <c r="F599" s="5" t="s">
        <v>24</v>
      </c>
      <c r="G599" s="5" t="s">
        <v>329</v>
      </c>
      <c r="H599" s="1">
        <f t="shared" si="19"/>
        <v>14000</v>
      </c>
    </row>
    <row r="600" spans="1:8" x14ac:dyDescent="0.3">
      <c r="A600" s="2" t="str">
        <f t="shared" si="18"/>
        <v>Oct-2023</v>
      </c>
      <c r="B600" s="2">
        <v>45218.220813877313</v>
      </c>
      <c r="C600" s="5" t="s">
        <v>12</v>
      </c>
      <c r="D600" s="3">
        <v>4</v>
      </c>
      <c r="E600" s="4">
        <v>700</v>
      </c>
      <c r="F600" s="5" t="s">
        <v>10</v>
      </c>
      <c r="G600" s="5" t="s">
        <v>354</v>
      </c>
      <c r="H600" s="1">
        <f t="shared" si="19"/>
        <v>2800</v>
      </c>
    </row>
    <row r="601" spans="1:8" x14ac:dyDescent="0.3">
      <c r="A601" s="2" t="str">
        <f t="shared" si="18"/>
        <v>Oct-2023</v>
      </c>
      <c r="B601" s="2">
        <v>45218.707805208331</v>
      </c>
      <c r="C601" s="5" t="s">
        <v>12</v>
      </c>
      <c r="D601" s="3">
        <v>5</v>
      </c>
      <c r="E601" s="4">
        <v>450</v>
      </c>
      <c r="F601" s="5" t="s">
        <v>7</v>
      </c>
      <c r="G601" s="5" t="s">
        <v>369</v>
      </c>
      <c r="H601" s="1">
        <f t="shared" si="19"/>
        <v>2250</v>
      </c>
    </row>
    <row r="602" spans="1:8" x14ac:dyDescent="0.3">
      <c r="A602" s="2" t="str">
        <f t="shared" si="18"/>
        <v>Oct-2023</v>
      </c>
      <c r="B602" s="2">
        <v>45219.19479652778</v>
      </c>
      <c r="C602" s="5" t="s">
        <v>36</v>
      </c>
      <c r="D602" s="3">
        <v>3</v>
      </c>
      <c r="E602" s="4">
        <v>1200</v>
      </c>
      <c r="F602" s="5" t="s">
        <v>10</v>
      </c>
      <c r="G602" s="5" t="s">
        <v>232</v>
      </c>
      <c r="H602" s="1">
        <f t="shared" si="19"/>
        <v>3600</v>
      </c>
    </row>
    <row r="603" spans="1:8" x14ac:dyDescent="0.3">
      <c r="A603" s="2" t="str">
        <f t="shared" si="18"/>
        <v>Oct-2023</v>
      </c>
      <c r="B603" s="2">
        <v>45219.681787858797</v>
      </c>
      <c r="C603" s="5" t="s">
        <v>6</v>
      </c>
      <c r="D603" s="3">
        <v>2</v>
      </c>
      <c r="E603" s="4">
        <v>700</v>
      </c>
      <c r="F603" s="5" t="s">
        <v>7</v>
      </c>
      <c r="G603" s="5" t="s">
        <v>34</v>
      </c>
      <c r="H603" s="1">
        <f t="shared" si="19"/>
        <v>1400</v>
      </c>
    </row>
    <row r="604" spans="1:8" x14ac:dyDescent="0.3">
      <c r="A604" s="2" t="str">
        <f t="shared" si="18"/>
        <v>Oct-2023</v>
      </c>
      <c r="B604" s="2">
        <v>45220.168779189815</v>
      </c>
      <c r="C604" s="5" t="s">
        <v>6</v>
      </c>
      <c r="D604" s="3">
        <v>3</v>
      </c>
      <c r="E604" s="4">
        <v>1800</v>
      </c>
      <c r="F604" s="5" t="s">
        <v>10</v>
      </c>
      <c r="G604" s="5" t="s">
        <v>230</v>
      </c>
      <c r="H604" s="1">
        <f t="shared" si="19"/>
        <v>5400</v>
      </c>
    </row>
    <row r="605" spans="1:8" x14ac:dyDescent="0.3">
      <c r="A605" s="2" t="str">
        <f t="shared" si="18"/>
        <v>Oct-2023</v>
      </c>
      <c r="B605" s="2">
        <v>45220.655770509256</v>
      </c>
      <c r="C605" s="5" t="s">
        <v>9</v>
      </c>
      <c r="D605" s="3">
        <v>6</v>
      </c>
      <c r="E605" s="4">
        <v>150</v>
      </c>
      <c r="F605" s="5" t="s">
        <v>7</v>
      </c>
      <c r="G605" s="5" t="s">
        <v>370</v>
      </c>
      <c r="H605" s="1">
        <f t="shared" si="19"/>
        <v>900</v>
      </c>
    </row>
    <row r="606" spans="1:8" x14ac:dyDescent="0.3">
      <c r="A606" s="2" t="str">
        <f t="shared" si="18"/>
        <v>Oct-2023</v>
      </c>
      <c r="B606" s="2">
        <v>45221.142761840281</v>
      </c>
      <c r="C606" s="5" t="s">
        <v>36</v>
      </c>
      <c r="D606" s="3">
        <v>6</v>
      </c>
      <c r="E606" s="4">
        <v>1800</v>
      </c>
      <c r="F606" s="5" t="s">
        <v>7</v>
      </c>
      <c r="G606" s="5" t="s">
        <v>62</v>
      </c>
      <c r="H606" s="1">
        <f t="shared" si="19"/>
        <v>10800</v>
      </c>
    </row>
    <row r="607" spans="1:8" x14ac:dyDescent="0.3">
      <c r="A607" s="2" t="str">
        <f t="shared" si="18"/>
        <v>Oct-2023</v>
      </c>
      <c r="B607" s="2">
        <v>45221.629753171299</v>
      </c>
      <c r="C607" s="5" t="s">
        <v>12</v>
      </c>
      <c r="D607" s="3">
        <v>2</v>
      </c>
      <c r="E607" s="4">
        <v>3500</v>
      </c>
      <c r="F607" s="5" t="s">
        <v>10</v>
      </c>
      <c r="G607" s="5" t="s">
        <v>56</v>
      </c>
      <c r="H607" s="1">
        <f t="shared" si="19"/>
        <v>7000</v>
      </c>
    </row>
    <row r="608" spans="1:8" x14ac:dyDescent="0.3">
      <c r="A608" s="2" t="str">
        <f t="shared" si="18"/>
        <v>Oct-2023</v>
      </c>
      <c r="B608" s="2">
        <v>45222.116744490741</v>
      </c>
      <c r="C608" s="5" t="s">
        <v>6</v>
      </c>
      <c r="D608" s="3">
        <v>5</v>
      </c>
      <c r="E608" s="4">
        <v>450</v>
      </c>
      <c r="F608" s="5" t="s">
        <v>10</v>
      </c>
      <c r="G608" s="5" t="s">
        <v>371</v>
      </c>
      <c r="H608" s="1">
        <f t="shared" si="19"/>
        <v>2250</v>
      </c>
    </row>
    <row r="609" spans="1:8" x14ac:dyDescent="0.3">
      <c r="A609" s="2" t="str">
        <f t="shared" si="18"/>
        <v>Oct-2023</v>
      </c>
      <c r="B609" s="2">
        <v>45222.603735821758</v>
      </c>
      <c r="C609" s="5" t="s">
        <v>36</v>
      </c>
      <c r="D609" s="3">
        <v>2</v>
      </c>
      <c r="E609" s="4">
        <v>3500</v>
      </c>
      <c r="F609" s="5" t="s">
        <v>7</v>
      </c>
      <c r="G609" s="5" t="s">
        <v>372</v>
      </c>
      <c r="H609" s="1">
        <f t="shared" si="19"/>
        <v>7000</v>
      </c>
    </row>
    <row r="610" spans="1:8" x14ac:dyDescent="0.3">
      <c r="A610" s="2" t="str">
        <f t="shared" si="18"/>
        <v>Oct-2023</v>
      </c>
      <c r="B610" s="2">
        <v>45223.090727152776</v>
      </c>
      <c r="C610" s="5" t="s">
        <v>6</v>
      </c>
      <c r="D610" s="3">
        <v>4</v>
      </c>
      <c r="E610" s="4">
        <v>1200</v>
      </c>
      <c r="F610" s="5" t="s">
        <v>13</v>
      </c>
      <c r="G610" s="5" t="s">
        <v>373</v>
      </c>
      <c r="H610" s="1">
        <f t="shared" si="19"/>
        <v>4800</v>
      </c>
    </row>
    <row r="611" spans="1:8" x14ac:dyDescent="0.3">
      <c r="A611" s="2" t="str">
        <f t="shared" si="18"/>
        <v>Oct-2023</v>
      </c>
      <c r="B611" s="2">
        <v>45223.577718483793</v>
      </c>
      <c r="C611" s="5" t="s">
        <v>26</v>
      </c>
      <c r="D611" s="3">
        <v>6</v>
      </c>
      <c r="E611" s="4">
        <v>1200</v>
      </c>
      <c r="F611" s="5" t="s">
        <v>24</v>
      </c>
      <c r="G611" s="5" t="s">
        <v>352</v>
      </c>
      <c r="H611" s="1">
        <f t="shared" si="19"/>
        <v>7200</v>
      </c>
    </row>
    <row r="612" spans="1:8" x14ac:dyDescent="0.3">
      <c r="A612" s="2" t="str">
        <f t="shared" si="18"/>
        <v>Oct-2023</v>
      </c>
      <c r="B612" s="2">
        <v>45224.064709803242</v>
      </c>
      <c r="C612" s="5" t="s">
        <v>6</v>
      </c>
      <c r="D612" s="3">
        <v>1</v>
      </c>
      <c r="E612" s="4">
        <v>450</v>
      </c>
      <c r="F612" s="5" t="s">
        <v>13</v>
      </c>
      <c r="G612" s="5" t="s">
        <v>167</v>
      </c>
      <c r="H612" s="1">
        <f t="shared" si="19"/>
        <v>450</v>
      </c>
    </row>
    <row r="613" spans="1:8" x14ac:dyDescent="0.3">
      <c r="A613" s="2" t="str">
        <f t="shared" si="18"/>
        <v>Oct-2023</v>
      </c>
      <c r="B613" s="2">
        <v>45224.55170113426</v>
      </c>
      <c r="C613" s="5" t="s">
        <v>12</v>
      </c>
      <c r="D613" s="3">
        <v>1</v>
      </c>
      <c r="E613" s="4">
        <v>700</v>
      </c>
      <c r="F613" s="5" t="s">
        <v>13</v>
      </c>
      <c r="G613" s="5" t="s">
        <v>64</v>
      </c>
      <c r="H613" s="1">
        <f t="shared" si="19"/>
        <v>700</v>
      </c>
    </row>
    <row r="614" spans="1:8" x14ac:dyDescent="0.3">
      <c r="A614" s="2" t="str">
        <f t="shared" si="18"/>
        <v>Oct-2023</v>
      </c>
      <c r="B614" s="2">
        <v>45225.038692465278</v>
      </c>
      <c r="C614" s="5" t="s">
        <v>17</v>
      </c>
      <c r="D614" s="3">
        <v>5</v>
      </c>
      <c r="E614" s="4">
        <v>700</v>
      </c>
      <c r="F614" s="5" t="s">
        <v>10</v>
      </c>
      <c r="G614" s="5" t="s">
        <v>239</v>
      </c>
      <c r="H614" s="1">
        <f t="shared" si="19"/>
        <v>3500</v>
      </c>
    </row>
    <row r="615" spans="1:8" x14ac:dyDescent="0.3">
      <c r="A615" s="2" t="str">
        <f t="shared" si="18"/>
        <v>Oct-2023</v>
      </c>
      <c r="B615" s="2">
        <v>45225.525683784719</v>
      </c>
      <c r="C615" s="5" t="s">
        <v>9</v>
      </c>
      <c r="D615" s="3">
        <v>4</v>
      </c>
      <c r="E615" s="4">
        <v>1200</v>
      </c>
      <c r="F615" s="5" t="s">
        <v>24</v>
      </c>
      <c r="G615" s="5" t="s">
        <v>374</v>
      </c>
      <c r="H615" s="1">
        <f t="shared" si="19"/>
        <v>4800</v>
      </c>
    </row>
    <row r="616" spans="1:8" x14ac:dyDescent="0.3">
      <c r="A616" s="2" t="str">
        <f t="shared" si="18"/>
        <v>Oct-2023</v>
      </c>
      <c r="B616" s="2">
        <v>45226.012675115744</v>
      </c>
      <c r="C616" s="5" t="s">
        <v>9</v>
      </c>
      <c r="D616" s="3">
        <v>3</v>
      </c>
      <c r="E616" s="4">
        <v>1200</v>
      </c>
      <c r="F616" s="5" t="s">
        <v>13</v>
      </c>
      <c r="G616" s="5" t="s">
        <v>375</v>
      </c>
      <c r="H616" s="1">
        <f t="shared" si="19"/>
        <v>3600</v>
      </c>
    </row>
    <row r="617" spans="1:8" x14ac:dyDescent="0.3">
      <c r="A617" s="2" t="str">
        <f t="shared" si="18"/>
        <v>Oct-2023</v>
      </c>
      <c r="B617" s="2">
        <v>45226.499666446762</v>
      </c>
      <c r="C617" s="5" t="s">
        <v>12</v>
      </c>
      <c r="D617" s="3">
        <v>4</v>
      </c>
      <c r="E617" s="4">
        <v>150</v>
      </c>
      <c r="F617" s="5" t="s">
        <v>10</v>
      </c>
      <c r="G617" s="5" t="s">
        <v>48</v>
      </c>
      <c r="H617" s="1">
        <f t="shared" si="19"/>
        <v>600</v>
      </c>
    </row>
    <row r="618" spans="1:8" x14ac:dyDescent="0.3">
      <c r="A618" s="2" t="str">
        <f t="shared" si="18"/>
        <v>Oct-2023</v>
      </c>
      <c r="B618" s="2">
        <v>45226.986657766203</v>
      </c>
      <c r="C618" s="5" t="s">
        <v>6</v>
      </c>
      <c r="D618" s="3">
        <v>1</v>
      </c>
      <c r="E618" s="4">
        <v>700</v>
      </c>
      <c r="F618" s="5" t="s">
        <v>13</v>
      </c>
      <c r="G618" s="5" t="s">
        <v>376</v>
      </c>
      <c r="H618" s="1">
        <f t="shared" si="19"/>
        <v>700</v>
      </c>
    </row>
    <row r="619" spans="1:8" x14ac:dyDescent="0.3">
      <c r="A619" s="2" t="str">
        <f t="shared" si="18"/>
        <v>Oct-2023</v>
      </c>
      <c r="B619" s="2">
        <v>45227.473649097221</v>
      </c>
      <c r="C619" s="5" t="s">
        <v>36</v>
      </c>
      <c r="D619" s="3">
        <v>1</v>
      </c>
      <c r="E619" s="4">
        <v>450</v>
      </c>
      <c r="F619" s="5" t="s">
        <v>13</v>
      </c>
      <c r="G619" s="5" t="s">
        <v>322</v>
      </c>
      <c r="H619" s="1">
        <f t="shared" si="19"/>
        <v>450</v>
      </c>
    </row>
    <row r="620" spans="1:8" x14ac:dyDescent="0.3">
      <c r="A620" s="2" t="str">
        <f t="shared" si="18"/>
        <v>Oct-2023</v>
      </c>
      <c r="B620" s="2">
        <v>45227.960640428239</v>
      </c>
      <c r="C620" s="5" t="s">
        <v>6</v>
      </c>
      <c r="D620" s="3">
        <v>6</v>
      </c>
      <c r="E620" s="4">
        <v>700</v>
      </c>
      <c r="F620" s="5" t="s">
        <v>10</v>
      </c>
      <c r="G620" s="5" t="s">
        <v>39</v>
      </c>
      <c r="H620" s="1">
        <f t="shared" si="19"/>
        <v>4200</v>
      </c>
    </row>
    <row r="621" spans="1:8" x14ac:dyDescent="0.3">
      <c r="A621" s="2" t="str">
        <f t="shared" si="18"/>
        <v>Oct-2023</v>
      </c>
      <c r="B621" s="2">
        <v>45228.447631759256</v>
      </c>
      <c r="C621" s="5" t="s">
        <v>12</v>
      </c>
      <c r="D621" s="3">
        <v>4</v>
      </c>
      <c r="E621" s="4">
        <v>150</v>
      </c>
      <c r="F621" s="5" t="s">
        <v>10</v>
      </c>
      <c r="G621" s="5" t="s">
        <v>273</v>
      </c>
      <c r="H621" s="1">
        <f t="shared" si="19"/>
        <v>600</v>
      </c>
    </row>
    <row r="622" spans="1:8" x14ac:dyDescent="0.3">
      <c r="A622" s="2" t="str">
        <f t="shared" si="18"/>
        <v>Oct-2023</v>
      </c>
      <c r="B622" s="2">
        <v>45228.934623078705</v>
      </c>
      <c r="C622" s="5" t="s">
        <v>9</v>
      </c>
      <c r="D622" s="3">
        <v>4</v>
      </c>
      <c r="E622" s="4">
        <v>3500</v>
      </c>
      <c r="F622" s="5" t="s">
        <v>10</v>
      </c>
      <c r="G622" s="5" t="s">
        <v>377</v>
      </c>
      <c r="H622" s="1">
        <f t="shared" si="19"/>
        <v>14000</v>
      </c>
    </row>
    <row r="623" spans="1:8" x14ac:dyDescent="0.3">
      <c r="A623" s="2" t="str">
        <f t="shared" si="18"/>
        <v>Oct-2023</v>
      </c>
      <c r="B623" s="2">
        <v>45229.421614409723</v>
      </c>
      <c r="C623" s="5" t="s">
        <v>6</v>
      </c>
      <c r="D623" s="3">
        <v>1</v>
      </c>
      <c r="E623" s="4">
        <v>1200</v>
      </c>
      <c r="F623" s="5" t="s">
        <v>24</v>
      </c>
      <c r="G623" s="5" t="s">
        <v>378</v>
      </c>
      <c r="H623" s="1">
        <f t="shared" si="19"/>
        <v>1200</v>
      </c>
    </row>
    <row r="624" spans="1:8" x14ac:dyDescent="0.3">
      <c r="A624" s="2" t="str">
        <f t="shared" si="18"/>
        <v>Oct-2023</v>
      </c>
      <c r="B624" s="2">
        <v>45229.90860574074</v>
      </c>
      <c r="C624" s="5" t="s">
        <v>9</v>
      </c>
      <c r="D624" s="3">
        <v>3</v>
      </c>
      <c r="E624" s="4">
        <v>1200</v>
      </c>
      <c r="F624" s="5" t="s">
        <v>13</v>
      </c>
      <c r="G624" s="5" t="s">
        <v>379</v>
      </c>
      <c r="H624" s="1">
        <f t="shared" si="19"/>
        <v>3600</v>
      </c>
    </row>
    <row r="625" spans="1:8" x14ac:dyDescent="0.3">
      <c r="A625" s="2" t="str">
        <f t="shared" si="18"/>
        <v>Oct-2023</v>
      </c>
      <c r="B625" s="2">
        <v>45230.395597060182</v>
      </c>
      <c r="C625" s="5" t="s">
        <v>36</v>
      </c>
      <c r="D625" s="3">
        <v>5</v>
      </c>
      <c r="E625" s="4">
        <v>150</v>
      </c>
      <c r="F625" s="5" t="s">
        <v>10</v>
      </c>
      <c r="G625" s="5" t="s">
        <v>380</v>
      </c>
      <c r="H625" s="1">
        <f t="shared" si="19"/>
        <v>750</v>
      </c>
    </row>
    <row r="626" spans="1:8" x14ac:dyDescent="0.3">
      <c r="A626" s="2" t="str">
        <f t="shared" si="18"/>
        <v>Oct-2023</v>
      </c>
      <c r="B626" s="2">
        <v>45230.882588391207</v>
      </c>
      <c r="C626" s="5" t="s">
        <v>9</v>
      </c>
      <c r="D626" s="3">
        <v>5</v>
      </c>
      <c r="E626" s="4">
        <v>450</v>
      </c>
      <c r="F626" s="5" t="s">
        <v>7</v>
      </c>
      <c r="G626" s="5" t="s">
        <v>53</v>
      </c>
      <c r="H626" s="1">
        <f t="shared" si="19"/>
        <v>2250</v>
      </c>
    </row>
    <row r="627" spans="1:8" x14ac:dyDescent="0.3">
      <c r="A627" s="2" t="str">
        <f t="shared" si="18"/>
        <v>Nov-2023</v>
      </c>
      <c r="B627" s="2">
        <v>45231.369579722224</v>
      </c>
      <c r="C627" s="5" t="s">
        <v>9</v>
      </c>
      <c r="D627" s="3">
        <v>4</v>
      </c>
      <c r="E627" s="4">
        <v>1200</v>
      </c>
      <c r="F627" s="5" t="s">
        <v>13</v>
      </c>
      <c r="G627" s="5" t="s">
        <v>381</v>
      </c>
      <c r="H627" s="1">
        <f t="shared" si="19"/>
        <v>4800</v>
      </c>
    </row>
    <row r="628" spans="1:8" x14ac:dyDescent="0.3">
      <c r="A628" s="2" t="str">
        <f t="shared" si="18"/>
        <v>Nov-2023</v>
      </c>
      <c r="B628" s="2">
        <v>45231.856571041666</v>
      </c>
      <c r="C628" s="5" t="s">
        <v>17</v>
      </c>
      <c r="D628" s="3">
        <v>5</v>
      </c>
      <c r="E628" s="4">
        <v>1800</v>
      </c>
      <c r="F628" s="5" t="s">
        <v>7</v>
      </c>
      <c r="G628" s="5" t="s">
        <v>248</v>
      </c>
      <c r="H628" s="1">
        <f t="shared" si="19"/>
        <v>9000</v>
      </c>
    </row>
    <row r="629" spans="1:8" x14ac:dyDescent="0.3">
      <c r="A629" s="2" t="str">
        <f t="shared" si="18"/>
        <v>Nov-2023</v>
      </c>
      <c r="B629" s="2">
        <v>45232.343562372684</v>
      </c>
      <c r="C629" s="5" t="s">
        <v>17</v>
      </c>
      <c r="D629" s="3">
        <v>1</v>
      </c>
      <c r="E629" s="4">
        <v>1200</v>
      </c>
      <c r="F629" s="5" t="s">
        <v>24</v>
      </c>
      <c r="G629" s="5" t="s">
        <v>217</v>
      </c>
      <c r="H629" s="1">
        <f t="shared" si="19"/>
        <v>1200</v>
      </c>
    </row>
    <row r="630" spans="1:8" x14ac:dyDescent="0.3">
      <c r="A630" s="2" t="str">
        <f t="shared" si="18"/>
        <v>Nov-2023</v>
      </c>
      <c r="B630" s="2">
        <v>45232.830553703701</v>
      </c>
      <c r="C630" s="5" t="s">
        <v>26</v>
      </c>
      <c r="D630" s="3">
        <v>1</v>
      </c>
      <c r="E630" s="4">
        <v>1800</v>
      </c>
      <c r="F630" s="5" t="s">
        <v>10</v>
      </c>
      <c r="G630" s="5" t="s">
        <v>69</v>
      </c>
      <c r="H630" s="1">
        <f t="shared" si="19"/>
        <v>1800</v>
      </c>
    </row>
    <row r="631" spans="1:8" x14ac:dyDescent="0.3">
      <c r="A631" s="2" t="str">
        <f t="shared" si="18"/>
        <v>Nov-2023</v>
      </c>
      <c r="B631" s="2">
        <v>45233.317545034719</v>
      </c>
      <c r="C631" s="5" t="s">
        <v>17</v>
      </c>
      <c r="D631" s="3">
        <v>4</v>
      </c>
      <c r="E631" s="4">
        <v>150</v>
      </c>
      <c r="F631" s="5" t="s">
        <v>7</v>
      </c>
      <c r="G631" s="5" t="s">
        <v>329</v>
      </c>
      <c r="H631" s="1">
        <f t="shared" si="19"/>
        <v>600</v>
      </c>
    </row>
    <row r="632" spans="1:8" x14ac:dyDescent="0.3">
      <c r="A632" s="2" t="str">
        <f t="shared" si="18"/>
        <v>Nov-2023</v>
      </c>
      <c r="B632" s="2">
        <v>45233.804536354168</v>
      </c>
      <c r="C632" s="5" t="s">
        <v>9</v>
      </c>
      <c r="D632" s="3">
        <v>4</v>
      </c>
      <c r="E632" s="4">
        <v>150</v>
      </c>
      <c r="F632" s="5" t="s">
        <v>24</v>
      </c>
      <c r="G632" s="5" t="s">
        <v>382</v>
      </c>
      <c r="H632" s="1">
        <f t="shared" si="19"/>
        <v>600</v>
      </c>
    </row>
    <row r="633" spans="1:8" x14ac:dyDescent="0.3">
      <c r="A633" s="2" t="str">
        <f t="shared" si="18"/>
        <v>Nov-2023</v>
      </c>
      <c r="B633" s="2">
        <v>45234.291527685185</v>
      </c>
      <c r="C633" s="5" t="s">
        <v>12</v>
      </c>
      <c r="D633" s="3">
        <v>6</v>
      </c>
      <c r="E633" s="4">
        <v>1200</v>
      </c>
      <c r="F633" s="5" t="s">
        <v>10</v>
      </c>
      <c r="G633" s="5" t="s">
        <v>383</v>
      </c>
      <c r="H633" s="1">
        <f t="shared" si="19"/>
        <v>7200</v>
      </c>
    </row>
    <row r="634" spans="1:8" x14ac:dyDescent="0.3">
      <c r="A634" s="2" t="str">
        <f t="shared" si="18"/>
        <v>Nov-2023</v>
      </c>
      <c r="B634" s="2">
        <v>45234.778519016203</v>
      </c>
      <c r="C634" s="5" t="s">
        <v>9</v>
      </c>
      <c r="D634" s="3">
        <v>4</v>
      </c>
      <c r="E634" s="4">
        <v>700</v>
      </c>
      <c r="F634" s="5" t="s">
        <v>7</v>
      </c>
      <c r="G634" s="5" t="s">
        <v>198</v>
      </c>
      <c r="H634" s="1">
        <f t="shared" si="19"/>
        <v>2800</v>
      </c>
    </row>
    <row r="635" spans="1:8" x14ac:dyDescent="0.3">
      <c r="A635" s="2" t="str">
        <f t="shared" si="18"/>
        <v>Nov-2023</v>
      </c>
      <c r="B635" s="2">
        <v>45235.265510335645</v>
      </c>
      <c r="C635" s="5" t="s">
        <v>12</v>
      </c>
      <c r="D635" s="3">
        <v>3</v>
      </c>
      <c r="E635" s="4">
        <v>1800</v>
      </c>
      <c r="F635" s="5" t="s">
        <v>7</v>
      </c>
      <c r="G635" s="5" t="s">
        <v>384</v>
      </c>
      <c r="H635" s="1">
        <f t="shared" si="19"/>
        <v>5400</v>
      </c>
    </row>
    <row r="636" spans="1:8" x14ac:dyDescent="0.3">
      <c r="A636" s="2" t="str">
        <f t="shared" si="18"/>
        <v>Nov-2023</v>
      </c>
      <c r="B636" s="2">
        <v>45235.75250166667</v>
      </c>
      <c r="C636" s="5" t="s">
        <v>12</v>
      </c>
      <c r="D636" s="3">
        <v>5</v>
      </c>
      <c r="E636" s="4">
        <v>450</v>
      </c>
      <c r="F636" s="5" t="s">
        <v>24</v>
      </c>
      <c r="G636" s="5" t="s">
        <v>377</v>
      </c>
      <c r="H636" s="1">
        <f t="shared" si="19"/>
        <v>2250</v>
      </c>
    </row>
    <row r="637" spans="1:8" x14ac:dyDescent="0.3">
      <c r="A637" s="2" t="str">
        <f t="shared" si="18"/>
        <v>Nov-2023</v>
      </c>
      <c r="B637" s="2">
        <v>45236.239492997687</v>
      </c>
      <c r="C637" s="5" t="s">
        <v>17</v>
      </c>
      <c r="D637" s="3">
        <v>4</v>
      </c>
      <c r="E637" s="4">
        <v>1200</v>
      </c>
      <c r="F637" s="5" t="s">
        <v>10</v>
      </c>
      <c r="G637" s="5" t="s">
        <v>71</v>
      </c>
      <c r="H637" s="1">
        <f t="shared" si="19"/>
        <v>4800</v>
      </c>
    </row>
    <row r="638" spans="1:8" x14ac:dyDescent="0.3">
      <c r="A638" s="2" t="str">
        <f t="shared" si="18"/>
        <v>Nov-2023</v>
      </c>
      <c r="B638" s="2">
        <v>45236.726484317129</v>
      </c>
      <c r="C638" s="5" t="s">
        <v>6</v>
      </c>
      <c r="D638" s="3">
        <v>2</v>
      </c>
      <c r="E638" s="4">
        <v>450</v>
      </c>
      <c r="F638" s="5" t="s">
        <v>10</v>
      </c>
      <c r="G638" s="5" t="s">
        <v>232</v>
      </c>
      <c r="H638" s="1">
        <f t="shared" si="19"/>
        <v>900</v>
      </c>
    </row>
    <row r="639" spans="1:8" x14ac:dyDescent="0.3">
      <c r="A639" s="2" t="str">
        <f t="shared" si="18"/>
        <v>Nov-2023</v>
      </c>
      <c r="B639" s="2">
        <v>45237.213475648146</v>
      </c>
      <c r="C639" s="5" t="s">
        <v>36</v>
      </c>
      <c r="D639" s="3">
        <v>6</v>
      </c>
      <c r="E639" s="4">
        <v>1200</v>
      </c>
      <c r="F639" s="5" t="s">
        <v>7</v>
      </c>
      <c r="G639" s="5" t="s">
        <v>385</v>
      </c>
      <c r="H639" s="1">
        <f t="shared" si="19"/>
        <v>7200</v>
      </c>
    </row>
    <row r="640" spans="1:8" x14ac:dyDescent="0.3">
      <c r="A640" s="2" t="str">
        <f t="shared" si="18"/>
        <v>Nov-2023</v>
      </c>
      <c r="B640" s="2">
        <v>45237.700466979164</v>
      </c>
      <c r="C640" s="5" t="s">
        <v>17</v>
      </c>
      <c r="D640" s="3">
        <v>2</v>
      </c>
      <c r="E640" s="4">
        <v>700</v>
      </c>
      <c r="F640" s="5" t="s">
        <v>7</v>
      </c>
      <c r="G640" s="5" t="s">
        <v>240</v>
      </c>
      <c r="H640" s="1">
        <f t="shared" si="19"/>
        <v>1400</v>
      </c>
    </row>
    <row r="641" spans="1:8" x14ac:dyDescent="0.3">
      <c r="A641" s="2" t="str">
        <f t="shared" si="18"/>
        <v>Nov-2023</v>
      </c>
      <c r="B641" s="2">
        <v>45238.187458310182</v>
      </c>
      <c r="C641" s="5" t="s">
        <v>17</v>
      </c>
      <c r="D641" s="3">
        <v>1</v>
      </c>
      <c r="E641" s="4">
        <v>700</v>
      </c>
      <c r="F641" s="5" t="s">
        <v>7</v>
      </c>
      <c r="G641" s="5" t="s">
        <v>100</v>
      </c>
      <c r="H641" s="1">
        <f t="shared" si="19"/>
        <v>700</v>
      </c>
    </row>
    <row r="642" spans="1:8" x14ac:dyDescent="0.3">
      <c r="A642" s="2" t="str">
        <f t="shared" si="18"/>
        <v>Nov-2023</v>
      </c>
      <c r="B642" s="2">
        <v>45238.674449629631</v>
      </c>
      <c r="C642" s="5" t="s">
        <v>6</v>
      </c>
      <c r="D642" s="3">
        <v>5</v>
      </c>
      <c r="E642" s="4">
        <v>700</v>
      </c>
      <c r="F642" s="5" t="s">
        <v>10</v>
      </c>
      <c r="G642" s="5" t="s">
        <v>126</v>
      </c>
      <c r="H642" s="1">
        <f t="shared" si="19"/>
        <v>3500</v>
      </c>
    </row>
    <row r="643" spans="1:8" x14ac:dyDescent="0.3">
      <c r="A643" s="2" t="str">
        <f t="shared" ref="A643:A706" si="20">TEXT(B643, "mmm-yyyy")</f>
        <v>Nov-2023</v>
      </c>
      <c r="B643" s="2">
        <v>45239.161440960648</v>
      </c>
      <c r="C643" s="5" t="s">
        <v>36</v>
      </c>
      <c r="D643" s="3">
        <v>4</v>
      </c>
      <c r="E643" s="4">
        <v>3500</v>
      </c>
      <c r="F643" s="5" t="s">
        <v>24</v>
      </c>
      <c r="G643" s="5" t="s">
        <v>332</v>
      </c>
      <c r="H643" s="1">
        <f t="shared" ref="H643:H706" si="21" xml:space="preserve"> D643 * E643</f>
        <v>14000</v>
      </c>
    </row>
    <row r="644" spans="1:8" x14ac:dyDescent="0.3">
      <c r="A644" s="2" t="str">
        <f t="shared" si="20"/>
        <v>Nov-2023</v>
      </c>
      <c r="B644" s="2">
        <v>45239.648432291666</v>
      </c>
      <c r="C644" s="5" t="s">
        <v>9</v>
      </c>
      <c r="D644" s="3">
        <v>2</v>
      </c>
      <c r="E644" s="4">
        <v>700</v>
      </c>
      <c r="F644" s="5" t="s">
        <v>24</v>
      </c>
      <c r="G644" s="5" t="s">
        <v>243</v>
      </c>
      <c r="H644" s="1">
        <f t="shared" si="21"/>
        <v>1400</v>
      </c>
    </row>
    <row r="645" spans="1:8" x14ac:dyDescent="0.3">
      <c r="A645" s="2" t="str">
        <f t="shared" si="20"/>
        <v>Nov-2023</v>
      </c>
      <c r="B645" s="2">
        <v>45240.135423611115</v>
      </c>
      <c r="C645" s="5" t="s">
        <v>26</v>
      </c>
      <c r="D645" s="3">
        <v>5</v>
      </c>
      <c r="E645" s="4">
        <v>150</v>
      </c>
      <c r="F645" s="5" t="s">
        <v>10</v>
      </c>
      <c r="G645" s="5" t="s">
        <v>293</v>
      </c>
      <c r="H645" s="1">
        <f t="shared" si="21"/>
        <v>750</v>
      </c>
    </row>
    <row r="646" spans="1:8" x14ac:dyDescent="0.3">
      <c r="A646" s="2" t="str">
        <f t="shared" si="20"/>
        <v>Nov-2023</v>
      </c>
      <c r="B646" s="2">
        <v>45240.622414942132</v>
      </c>
      <c r="C646" s="5" t="s">
        <v>26</v>
      </c>
      <c r="D646" s="3">
        <v>1</v>
      </c>
      <c r="E646" s="4">
        <v>150</v>
      </c>
      <c r="F646" s="5" t="s">
        <v>13</v>
      </c>
      <c r="G646" s="5" t="s">
        <v>31</v>
      </c>
      <c r="H646" s="1">
        <f t="shared" si="21"/>
        <v>150</v>
      </c>
    </row>
    <row r="647" spans="1:8" x14ac:dyDescent="0.3">
      <c r="A647" s="2" t="str">
        <f t="shared" si="20"/>
        <v>Nov-2023</v>
      </c>
      <c r="B647" s="2">
        <v>45241.10940627315</v>
      </c>
      <c r="C647" s="5" t="s">
        <v>9</v>
      </c>
      <c r="D647" s="3">
        <v>3</v>
      </c>
      <c r="E647" s="4">
        <v>3500</v>
      </c>
      <c r="F647" s="5" t="s">
        <v>24</v>
      </c>
      <c r="G647" s="5" t="s">
        <v>183</v>
      </c>
      <c r="H647" s="1">
        <f t="shared" si="21"/>
        <v>10500</v>
      </c>
    </row>
    <row r="648" spans="1:8" x14ac:dyDescent="0.3">
      <c r="A648" s="2" t="str">
        <f t="shared" si="20"/>
        <v>Nov-2023</v>
      </c>
      <c r="B648" s="2">
        <v>45241.596397604168</v>
      </c>
      <c r="C648" s="5" t="s">
        <v>17</v>
      </c>
      <c r="D648" s="3">
        <v>6</v>
      </c>
      <c r="E648" s="4">
        <v>1800</v>
      </c>
      <c r="F648" s="5" t="s">
        <v>7</v>
      </c>
      <c r="G648" s="5" t="s">
        <v>242</v>
      </c>
      <c r="H648" s="1">
        <f t="shared" si="21"/>
        <v>10800</v>
      </c>
    </row>
    <row r="649" spans="1:8" x14ac:dyDescent="0.3">
      <c r="A649" s="2" t="str">
        <f t="shared" si="20"/>
        <v>Nov-2023</v>
      </c>
      <c r="B649" s="2">
        <v>45242.083388923609</v>
      </c>
      <c r="C649" s="5" t="s">
        <v>36</v>
      </c>
      <c r="D649" s="3">
        <v>5</v>
      </c>
      <c r="E649" s="4">
        <v>450</v>
      </c>
      <c r="F649" s="5" t="s">
        <v>13</v>
      </c>
      <c r="G649" s="5" t="s">
        <v>328</v>
      </c>
      <c r="H649" s="1">
        <f t="shared" si="21"/>
        <v>2250</v>
      </c>
    </row>
    <row r="650" spans="1:8" x14ac:dyDescent="0.3">
      <c r="A650" s="2" t="str">
        <f t="shared" si="20"/>
        <v>Nov-2023</v>
      </c>
      <c r="B650" s="2">
        <v>45242.570380254627</v>
      </c>
      <c r="C650" s="5" t="s">
        <v>17</v>
      </c>
      <c r="D650" s="3">
        <v>5</v>
      </c>
      <c r="E650" s="4">
        <v>1200</v>
      </c>
      <c r="F650" s="5" t="s">
        <v>13</v>
      </c>
      <c r="G650" s="5" t="s">
        <v>386</v>
      </c>
      <c r="H650" s="1">
        <f t="shared" si="21"/>
        <v>6000</v>
      </c>
    </row>
    <row r="651" spans="1:8" x14ac:dyDescent="0.3">
      <c r="A651" s="2" t="str">
        <f t="shared" si="20"/>
        <v>Nov-2023</v>
      </c>
      <c r="B651" s="2">
        <v>45243.057371585652</v>
      </c>
      <c r="C651" s="5" t="s">
        <v>12</v>
      </c>
      <c r="D651" s="3">
        <v>3</v>
      </c>
      <c r="E651" s="4">
        <v>1200</v>
      </c>
      <c r="F651" s="5" t="s">
        <v>24</v>
      </c>
      <c r="G651" s="5" t="s">
        <v>107</v>
      </c>
      <c r="H651" s="1">
        <f t="shared" si="21"/>
        <v>3600</v>
      </c>
    </row>
    <row r="652" spans="1:8" x14ac:dyDescent="0.3">
      <c r="A652" s="2" t="str">
        <f t="shared" si="20"/>
        <v>Nov-2023</v>
      </c>
      <c r="B652" s="2">
        <v>45243.544362905093</v>
      </c>
      <c r="C652" s="5" t="s">
        <v>17</v>
      </c>
      <c r="D652" s="3">
        <v>5</v>
      </c>
      <c r="E652" s="4">
        <v>3500</v>
      </c>
      <c r="F652" s="5" t="s">
        <v>13</v>
      </c>
      <c r="G652" s="5" t="s">
        <v>150</v>
      </c>
      <c r="H652" s="1">
        <f t="shared" si="21"/>
        <v>17500</v>
      </c>
    </row>
    <row r="653" spans="1:8" x14ac:dyDescent="0.3">
      <c r="A653" s="2" t="str">
        <f t="shared" si="20"/>
        <v>Nov-2023</v>
      </c>
      <c r="B653" s="2">
        <v>45244.031354236111</v>
      </c>
      <c r="C653" s="5" t="s">
        <v>17</v>
      </c>
      <c r="D653" s="3">
        <v>1</v>
      </c>
      <c r="E653" s="4">
        <v>150</v>
      </c>
      <c r="F653" s="5" t="s">
        <v>13</v>
      </c>
      <c r="G653" s="5" t="s">
        <v>199</v>
      </c>
      <c r="H653" s="1">
        <f t="shared" si="21"/>
        <v>150</v>
      </c>
    </row>
    <row r="654" spans="1:8" x14ac:dyDescent="0.3">
      <c r="A654" s="2" t="str">
        <f t="shared" si="20"/>
        <v>Nov-2023</v>
      </c>
      <c r="B654" s="2">
        <v>45244.518345567129</v>
      </c>
      <c r="C654" s="5" t="s">
        <v>9</v>
      </c>
      <c r="D654" s="3">
        <v>1</v>
      </c>
      <c r="E654" s="4">
        <v>1200</v>
      </c>
      <c r="F654" s="5" t="s">
        <v>24</v>
      </c>
      <c r="G654" s="5" t="s">
        <v>198</v>
      </c>
      <c r="H654" s="1">
        <f t="shared" si="21"/>
        <v>1200</v>
      </c>
    </row>
    <row r="655" spans="1:8" x14ac:dyDescent="0.3">
      <c r="A655" s="2" t="str">
        <f t="shared" si="20"/>
        <v>Nov-2023</v>
      </c>
      <c r="B655" s="2">
        <v>45245.005336886577</v>
      </c>
      <c r="C655" s="5" t="s">
        <v>9</v>
      </c>
      <c r="D655" s="3">
        <v>3</v>
      </c>
      <c r="E655" s="4">
        <v>150</v>
      </c>
      <c r="F655" s="5" t="s">
        <v>24</v>
      </c>
      <c r="G655" s="5" t="s">
        <v>387</v>
      </c>
      <c r="H655" s="1">
        <f t="shared" si="21"/>
        <v>450</v>
      </c>
    </row>
    <row r="656" spans="1:8" x14ac:dyDescent="0.3">
      <c r="A656" s="2" t="str">
        <f t="shared" si="20"/>
        <v>Nov-2023</v>
      </c>
      <c r="B656" s="2">
        <v>45245.492328217595</v>
      </c>
      <c r="C656" s="5" t="s">
        <v>9</v>
      </c>
      <c r="D656" s="3">
        <v>6</v>
      </c>
      <c r="E656" s="4">
        <v>1800</v>
      </c>
      <c r="F656" s="5" t="s">
        <v>13</v>
      </c>
      <c r="G656" s="5" t="s">
        <v>388</v>
      </c>
      <c r="H656" s="1">
        <f t="shared" si="21"/>
        <v>10800</v>
      </c>
    </row>
    <row r="657" spans="1:8" x14ac:dyDescent="0.3">
      <c r="A657" s="2" t="str">
        <f t="shared" si="20"/>
        <v>Nov-2023</v>
      </c>
      <c r="B657" s="2">
        <v>45245.979319548613</v>
      </c>
      <c r="C657" s="5" t="s">
        <v>26</v>
      </c>
      <c r="D657" s="3">
        <v>4</v>
      </c>
      <c r="E657" s="4">
        <v>450</v>
      </c>
      <c r="F657" s="5" t="s">
        <v>7</v>
      </c>
      <c r="G657" s="5" t="s">
        <v>85</v>
      </c>
      <c r="H657" s="1">
        <f t="shared" si="21"/>
        <v>1800</v>
      </c>
    </row>
    <row r="658" spans="1:8" x14ac:dyDescent="0.3">
      <c r="A658" s="2" t="str">
        <f t="shared" si="20"/>
        <v>Nov-2023</v>
      </c>
      <c r="B658" s="2">
        <v>45246.46631087963</v>
      </c>
      <c r="C658" s="5" t="s">
        <v>12</v>
      </c>
      <c r="D658" s="3">
        <v>2</v>
      </c>
      <c r="E658" s="4">
        <v>1800</v>
      </c>
      <c r="F658" s="5" t="s">
        <v>10</v>
      </c>
      <c r="G658" s="5" t="s">
        <v>389</v>
      </c>
      <c r="H658" s="1">
        <f t="shared" si="21"/>
        <v>3600</v>
      </c>
    </row>
    <row r="659" spans="1:8" x14ac:dyDescent="0.3">
      <c r="A659" s="2" t="str">
        <f t="shared" si="20"/>
        <v>Nov-2023</v>
      </c>
      <c r="B659" s="2">
        <v>45246.953302199072</v>
      </c>
      <c r="C659" s="5" t="s">
        <v>9</v>
      </c>
      <c r="D659" s="3">
        <v>4</v>
      </c>
      <c r="E659" s="4">
        <v>3500</v>
      </c>
      <c r="F659" s="5" t="s">
        <v>13</v>
      </c>
      <c r="G659" s="5" t="s">
        <v>44</v>
      </c>
      <c r="H659" s="1">
        <f t="shared" si="21"/>
        <v>14000</v>
      </c>
    </row>
    <row r="660" spans="1:8" x14ac:dyDescent="0.3">
      <c r="A660" s="2" t="str">
        <f t="shared" si="20"/>
        <v>Nov-2023</v>
      </c>
      <c r="B660" s="2">
        <v>45247.44029353009</v>
      </c>
      <c r="C660" s="5" t="s">
        <v>36</v>
      </c>
      <c r="D660" s="3">
        <v>5</v>
      </c>
      <c r="E660" s="4">
        <v>700</v>
      </c>
      <c r="F660" s="5" t="s">
        <v>13</v>
      </c>
      <c r="G660" s="5" t="s">
        <v>382</v>
      </c>
      <c r="H660" s="1">
        <f t="shared" si="21"/>
        <v>3500</v>
      </c>
    </row>
    <row r="661" spans="1:8" x14ac:dyDescent="0.3">
      <c r="A661" s="2" t="str">
        <f t="shared" si="20"/>
        <v>Nov-2023</v>
      </c>
      <c r="B661" s="2">
        <v>45247.927284861114</v>
      </c>
      <c r="C661" s="5" t="s">
        <v>26</v>
      </c>
      <c r="D661" s="3">
        <v>2</v>
      </c>
      <c r="E661" s="4">
        <v>700</v>
      </c>
      <c r="F661" s="5" t="s">
        <v>7</v>
      </c>
      <c r="G661" s="5" t="s">
        <v>271</v>
      </c>
      <c r="H661" s="1">
        <f t="shared" si="21"/>
        <v>1400</v>
      </c>
    </row>
    <row r="662" spans="1:8" x14ac:dyDescent="0.3">
      <c r="A662" s="2" t="str">
        <f t="shared" si="20"/>
        <v>Nov-2023</v>
      </c>
      <c r="B662" s="2">
        <v>45248.414276180556</v>
      </c>
      <c r="C662" s="5" t="s">
        <v>6</v>
      </c>
      <c r="D662" s="3">
        <v>3</v>
      </c>
      <c r="E662" s="4">
        <v>700</v>
      </c>
      <c r="F662" s="5" t="s">
        <v>13</v>
      </c>
      <c r="G662" s="5" t="s">
        <v>229</v>
      </c>
      <c r="H662" s="1">
        <f t="shared" si="21"/>
        <v>2100</v>
      </c>
    </row>
    <row r="663" spans="1:8" x14ac:dyDescent="0.3">
      <c r="A663" s="2" t="str">
        <f t="shared" si="20"/>
        <v>Nov-2023</v>
      </c>
      <c r="B663" s="2">
        <v>45248.901267511574</v>
      </c>
      <c r="C663" s="5" t="s">
        <v>36</v>
      </c>
      <c r="D663" s="3">
        <v>3</v>
      </c>
      <c r="E663" s="4">
        <v>1800</v>
      </c>
      <c r="F663" s="5" t="s">
        <v>13</v>
      </c>
      <c r="G663" s="5" t="s">
        <v>390</v>
      </c>
      <c r="H663" s="1">
        <f t="shared" si="21"/>
        <v>5400</v>
      </c>
    </row>
    <row r="664" spans="1:8" x14ac:dyDescent="0.3">
      <c r="A664" s="2" t="str">
        <f t="shared" si="20"/>
        <v>Nov-2023</v>
      </c>
      <c r="B664" s="2">
        <v>45249.388258842591</v>
      </c>
      <c r="C664" s="5" t="s">
        <v>36</v>
      </c>
      <c r="D664" s="3">
        <v>6</v>
      </c>
      <c r="E664" s="4">
        <v>1200</v>
      </c>
      <c r="F664" s="5" t="s">
        <v>10</v>
      </c>
      <c r="G664" s="5" t="s">
        <v>40</v>
      </c>
      <c r="H664" s="1">
        <f t="shared" si="21"/>
        <v>7200</v>
      </c>
    </row>
    <row r="665" spans="1:8" x14ac:dyDescent="0.3">
      <c r="A665" s="2" t="str">
        <f t="shared" si="20"/>
        <v>Nov-2023</v>
      </c>
      <c r="B665" s="2">
        <v>45249.87525016204</v>
      </c>
      <c r="C665" s="5" t="s">
        <v>9</v>
      </c>
      <c r="D665" s="3">
        <v>2</v>
      </c>
      <c r="E665" s="4">
        <v>450</v>
      </c>
      <c r="F665" s="5" t="s">
        <v>10</v>
      </c>
      <c r="G665" s="5" t="s">
        <v>391</v>
      </c>
      <c r="H665" s="1">
        <f t="shared" si="21"/>
        <v>900</v>
      </c>
    </row>
    <row r="666" spans="1:8" x14ac:dyDescent="0.3">
      <c r="A666" s="2" t="str">
        <f t="shared" si="20"/>
        <v>Nov-2023</v>
      </c>
      <c r="B666" s="2">
        <v>45250.362241493058</v>
      </c>
      <c r="C666" s="5" t="s">
        <v>6</v>
      </c>
      <c r="D666" s="3">
        <v>1</v>
      </c>
      <c r="E666" s="4">
        <v>700</v>
      </c>
      <c r="F666" s="5" t="s">
        <v>10</v>
      </c>
      <c r="G666" s="5" t="s">
        <v>392</v>
      </c>
      <c r="H666" s="1">
        <f t="shared" si="21"/>
        <v>700</v>
      </c>
    </row>
    <row r="667" spans="1:8" x14ac:dyDescent="0.3">
      <c r="A667" s="2" t="str">
        <f t="shared" si="20"/>
        <v>Nov-2023</v>
      </c>
      <c r="B667" s="2">
        <v>45250.849232824075</v>
      </c>
      <c r="C667" s="5" t="s">
        <v>6</v>
      </c>
      <c r="D667" s="3">
        <v>2</v>
      </c>
      <c r="E667" s="4">
        <v>3500</v>
      </c>
      <c r="F667" s="5" t="s">
        <v>24</v>
      </c>
      <c r="G667" s="5" t="s">
        <v>377</v>
      </c>
      <c r="H667" s="1">
        <f t="shared" si="21"/>
        <v>7000</v>
      </c>
    </row>
    <row r="668" spans="1:8" x14ac:dyDescent="0.3">
      <c r="A668" s="2" t="str">
        <f t="shared" si="20"/>
        <v>Nov-2023</v>
      </c>
      <c r="B668" s="2">
        <v>45251.336224155093</v>
      </c>
      <c r="C668" s="5" t="s">
        <v>26</v>
      </c>
      <c r="D668" s="3">
        <v>5</v>
      </c>
      <c r="E668" s="4">
        <v>3500</v>
      </c>
      <c r="F668" s="5" t="s">
        <v>24</v>
      </c>
      <c r="G668" s="5" t="s">
        <v>176</v>
      </c>
      <c r="H668" s="1">
        <f t="shared" si="21"/>
        <v>17500</v>
      </c>
    </row>
    <row r="669" spans="1:8" x14ac:dyDescent="0.3">
      <c r="A669" s="2" t="str">
        <f t="shared" si="20"/>
        <v>Nov-2023</v>
      </c>
      <c r="B669" s="2">
        <v>45251.823215474535</v>
      </c>
      <c r="C669" s="5" t="s">
        <v>6</v>
      </c>
      <c r="D669" s="3">
        <v>1</v>
      </c>
      <c r="E669" s="4">
        <v>700</v>
      </c>
      <c r="F669" s="5" t="s">
        <v>10</v>
      </c>
      <c r="G669" s="5" t="s">
        <v>295</v>
      </c>
      <c r="H669" s="1">
        <f t="shared" si="21"/>
        <v>700</v>
      </c>
    </row>
    <row r="670" spans="1:8" x14ac:dyDescent="0.3">
      <c r="A670" s="2" t="str">
        <f t="shared" si="20"/>
        <v>Nov-2023</v>
      </c>
      <c r="B670" s="2">
        <v>45252.310206805552</v>
      </c>
      <c r="C670" s="5" t="s">
        <v>12</v>
      </c>
      <c r="D670" s="3">
        <v>3</v>
      </c>
      <c r="E670" s="4">
        <v>700</v>
      </c>
      <c r="F670" s="5" t="s">
        <v>10</v>
      </c>
      <c r="G670" s="5" t="s">
        <v>316</v>
      </c>
      <c r="H670" s="1">
        <f t="shared" si="21"/>
        <v>2100</v>
      </c>
    </row>
    <row r="671" spans="1:8" x14ac:dyDescent="0.3">
      <c r="A671" s="2" t="str">
        <f t="shared" si="20"/>
        <v>Nov-2023</v>
      </c>
      <c r="B671" s="2">
        <v>45252.797198136577</v>
      </c>
      <c r="C671" s="5" t="s">
        <v>9</v>
      </c>
      <c r="D671" s="3">
        <v>2</v>
      </c>
      <c r="E671" s="4">
        <v>450</v>
      </c>
      <c r="F671" s="5" t="s">
        <v>24</v>
      </c>
      <c r="G671" s="5" t="s">
        <v>393</v>
      </c>
      <c r="H671" s="1">
        <f t="shared" si="21"/>
        <v>900</v>
      </c>
    </row>
    <row r="672" spans="1:8" x14ac:dyDescent="0.3">
      <c r="A672" s="2" t="str">
        <f t="shared" si="20"/>
        <v>Nov-2023</v>
      </c>
      <c r="B672" s="2">
        <v>45253.284189456019</v>
      </c>
      <c r="C672" s="5" t="s">
        <v>6</v>
      </c>
      <c r="D672" s="3">
        <v>4</v>
      </c>
      <c r="E672" s="4">
        <v>700</v>
      </c>
      <c r="F672" s="5" t="s">
        <v>7</v>
      </c>
      <c r="G672" s="5" t="s">
        <v>394</v>
      </c>
      <c r="H672" s="1">
        <f t="shared" si="21"/>
        <v>2800</v>
      </c>
    </row>
    <row r="673" spans="1:8" x14ac:dyDescent="0.3">
      <c r="A673" s="2" t="str">
        <f t="shared" si="20"/>
        <v>Nov-2023</v>
      </c>
      <c r="B673" s="2">
        <v>45253.771180787036</v>
      </c>
      <c r="C673" s="5" t="s">
        <v>26</v>
      </c>
      <c r="D673" s="3">
        <v>6</v>
      </c>
      <c r="E673" s="4">
        <v>450</v>
      </c>
      <c r="F673" s="5" t="s">
        <v>13</v>
      </c>
      <c r="G673" s="5" t="s">
        <v>170</v>
      </c>
      <c r="H673" s="1">
        <f t="shared" si="21"/>
        <v>2700</v>
      </c>
    </row>
    <row r="674" spans="1:8" x14ac:dyDescent="0.3">
      <c r="A674" s="2" t="str">
        <f t="shared" si="20"/>
        <v>Nov-2023</v>
      </c>
      <c r="B674" s="2">
        <v>45254.258172118054</v>
      </c>
      <c r="C674" s="5" t="s">
        <v>12</v>
      </c>
      <c r="D674" s="3">
        <v>4</v>
      </c>
      <c r="E674" s="4">
        <v>3500</v>
      </c>
      <c r="F674" s="5" t="s">
        <v>13</v>
      </c>
      <c r="G674" s="5" t="s">
        <v>301</v>
      </c>
      <c r="H674" s="1">
        <f t="shared" si="21"/>
        <v>14000</v>
      </c>
    </row>
    <row r="675" spans="1:8" x14ac:dyDescent="0.3">
      <c r="A675" s="2" t="str">
        <f t="shared" si="20"/>
        <v>Nov-2023</v>
      </c>
      <c r="B675" s="2">
        <v>45254.745163437503</v>
      </c>
      <c r="C675" s="5" t="s">
        <v>17</v>
      </c>
      <c r="D675" s="3">
        <v>6</v>
      </c>
      <c r="E675" s="4">
        <v>700</v>
      </c>
      <c r="F675" s="5" t="s">
        <v>10</v>
      </c>
      <c r="G675" s="5" t="s">
        <v>119</v>
      </c>
      <c r="H675" s="1">
        <f t="shared" si="21"/>
        <v>4200</v>
      </c>
    </row>
    <row r="676" spans="1:8" x14ac:dyDescent="0.3">
      <c r="A676" s="2" t="str">
        <f t="shared" si="20"/>
        <v>Nov-2023</v>
      </c>
      <c r="B676" s="2">
        <v>45255.232154768521</v>
      </c>
      <c r="C676" s="5" t="s">
        <v>17</v>
      </c>
      <c r="D676" s="3">
        <v>5</v>
      </c>
      <c r="E676" s="4">
        <v>1800</v>
      </c>
      <c r="F676" s="5" t="s">
        <v>7</v>
      </c>
      <c r="G676" s="5" t="s">
        <v>71</v>
      </c>
      <c r="H676" s="1">
        <f t="shared" si="21"/>
        <v>9000</v>
      </c>
    </row>
    <row r="677" spans="1:8" x14ac:dyDescent="0.3">
      <c r="A677" s="2" t="str">
        <f t="shared" si="20"/>
        <v>Nov-2023</v>
      </c>
      <c r="B677" s="2">
        <v>45255.719146099538</v>
      </c>
      <c r="C677" s="5" t="s">
        <v>12</v>
      </c>
      <c r="D677" s="3">
        <v>4</v>
      </c>
      <c r="E677" s="4">
        <v>1800</v>
      </c>
      <c r="F677" s="5" t="s">
        <v>24</v>
      </c>
      <c r="G677" s="5" t="s">
        <v>273</v>
      </c>
      <c r="H677" s="1">
        <f t="shared" si="21"/>
        <v>7200</v>
      </c>
    </row>
    <row r="678" spans="1:8" x14ac:dyDescent="0.3">
      <c r="A678" s="2" t="str">
        <f t="shared" si="20"/>
        <v>Nov-2023</v>
      </c>
      <c r="B678" s="2">
        <v>45256.206137430556</v>
      </c>
      <c r="C678" s="5" t="s">
        <v>26</v>
      </c>
      <c r="D678" s="3">
        <v>2</v>
      </c>
      <c r="E678" s="4">
        <v>3500</v>
      </c>
      <c r="F678" s="5" t="s">
        <v>10</v>
      </c>
      <c r="G678" s="5" t="s">
        <v>395</v>
      </c>
      <c r="H678" s="1">
        <f t="shared" si="21"/>
        <v>7000</v>
      </c>
    </row>
    <row r="679" spans="1:8" x14ac:dyDescent="0.3">
      <c r="A679" s="2" t="str">
        <f t="shared" si="20"/>
        <v>Nov-2023</v>
      </c>
      <c r="B679" s="2">
        <v>45256.693128749997</v>
      </c>
      <c r="C679" s="5" t="s">
        <v>12</v>
      </c>
      <c r="D679" s="3">
        <v>2</v>
      </c>
      <c r="E679" s="4">
        <v>450</v>
      </c>
      <c r="F679" s="5" t="s">
        <v>7</v>
      </c>
      <c r="G679" s="5" t="s">
        <v>357</v>
      </c>
      <c r="H679" s="1">
        <f t="shared" si="21"/>
        <v>900</v>
      </c>
    </row>
    <row r="680" spans="1:8" x14ac:dyDescent="0.3">
      <c r="A680" s="2" t="str">
        <f t="shared" si="20"/>
        <v>Nov-2023</v>
      </c>
      <c r="B680" s="2">
        <v>45257.180120081015</v>
      </c>
      <c r="C680" s="5" t="s">
        <v>9</v>
      </c>
      <c r="D680" s="3">
        <v>4</v>
      </c>
      <c r="E680" s="4">
        <v>1800</v>
      </c>
      <c r="F680" s="5" t="s">
        <v>7</v>
      </c>
      <c r="G680" s="5" t="s">
        <v>273</v>
      </c>
      <c r="H680" s="1">
        <f t="shared" si="21"/>
        <v>7200</v>
      </c>
    </row>
    <row r="681" spans="1:8" x14ac:dyDescent="0.3">
      <c r="A681" s="2" t="str">
        <f t="shared" si="20"/>
        <v>Nov-2023</v>
      </c>
      <c r="B681" s="2">
        <v>45257.66711141204</v>
      </c>
      <c r="C681" s="5" t="s">
        <v>9</v>
      </c>
      <c r="D681" s="3">
        <v>2</v>
      </c>
      <c r="E681" s="4">
        <v>450</v>
      </c>
      <c r="F681" s="5" t="s">
        <v>7</v>
      </c>
      <c r="G681" s="5" t="s">
        <v>246</v>
      </c>
      <c r="H681" s="1">
        <f t="shared" si="21"/>
        <v>900</v>
      </c>
    </row>
    <row r="682" spans="1:8" x14ac:dyDescent="0.3">
      <c r="A682" s="2" t="str">
        <f t="shared" si="20"/>
        <v>Nov-2023</v>
      </c>
      <c r="B682" s="2">
        <v>45258.154102731482</v>
      </c>
      <c r="C682" s="5" t="s">
        <v>17</v>
      </c>
      <c r="D682" s="3">
        <v>5</v>
      </c>
      <c r="E682" s="4">
        <v>1800</v>
      </c>
      <c r="F682" s="5" t="s">
        <v>24</v>
      </c>
      <c r="G682" s="5" t="s">
        <v>396</v>
      </c>
      <c r="H682" s="1">
        <f t="shared" si="21"/>
        <v>9000</v>
      </c>
    </row>
    <row r="683" spans="1:8" x14ac:dyDescent="0.3">
      <c r="A683" s="2" t="str">
        <f t="shared" si="20"/>
        <v>Nov-2023</v>
      </c>
      <c r="B683" s="2">
        <v>45258.641094062499</v>
      </c>
      <c r="C683" s="5" t="s">
        <v>6</v>
      </c>
      <c r="D683" s="3">
        <v>1</v>
      </c>
      <c r="E683" s="4">
        <v>1800</v>
      </c>
      <c r="F683" s="5" t="s">
        <v>24</v>
      </c>
      <c r="G683" s="5" t="s">
        <v>148</v>
      </c>
      <c r="H683" s="1">
        <f t="shared" si="21"/>
        <v>1800</v>
      </c>
    </row>
    <row r="684" spans="1:8" x14ac:dyDescent="0.3">
      <c r="A684" s="2" t="str">
        <f t="shared" si="20"/>
        <v>Nov-2023</v>
      </c>
      <c r="B684" s="2">
        <v>45259.128085393517</v>
      </c>
      <c r="C684" s="5" t="s">
        <v>26</v>
      </c>
      <c r="D684" s="3">
        <v>5</v>
      </c>
      <c r="E684" s="4">
        <v>450</v>
      </c>
      <c r="F684" s="5" t="s">
        <v>13</v>
      </c>
      <c r="G684" s="5" t="s">
        <v>219</v>
      </c>
      <c r="H684" s="1">
        <f t="shared" si="21"/>
        <v>2250</v>
      </c>
    </row>
    <row r="685" spans="1:8" x14ac:dyDescent="0.3">
      <c r="A685" s="2" t="str">
        <f t="shared" si="20"/>
        <v>Nov-2023</v>
      </c>
      <c r="B685" s="2">
        <v>45259.615076712966</v>
      </c>
      <c r="C685" s="5" t="s">
        <v>17</v>
      </c>
      <c r="D685" s="3">
        <v>6</v>
      </c>
      <c r="E685" s="4">
        <v>1200</v>
      </c>
      <c r="F685" s="5" t="s">
        <v>13</v>
      </c>
      <c r="G685" s="5" t="s">
        <v>390</v>
      </c>
      <c r="H685" s="1">
        <f t="shared" si="21"/>
        <v>7200</v>
      </c>
    </row>
    <row r="686" spans="1:8" x14ac:dyDescent="0.3">
      <c r="A686" s="2" t="str">
        <f t="shared" si="20"/>
        <v>Nov-2023</v>
      </c>
      <c r="B686" s="2">
        <v>45260.102068043983</v>
      </c>
      <c r="C686" s="5" t="s">
        <v>6</v>
      </c>
      <c r="D686" s="3">
        <v>5</v>
      </c>
      <c r="E686" s="4">
        <v>1800</v>
      </c>
      <c r="F686" s="5" t="s">
        <v>7</v>
      </c>
      <c r="G686" s="5" t="s">
        <v>316</v>
      </c>
      <c r="H686" s="1">
        <f t="shared" si="21"/>
        <v>9000</v>
      </c>
    </row>
    <row r="687" spans="1:8" x14ac:dyDescent="0.3">
      <c r="A687" s="2" t="str">
        <f t="shared" si="20"/>
        <v>Nov-2023</v>
      </c>
      <c r="B687" s="2">
        <v>45260.589059375001</v>
      </c>
      <c r="C687" s="5" t="s">
        <v>6</v>
      </c>
      <c r="D687" s="3">
        <v>6</v>
      </c>
      <c r="E687" s="4">
        <v>700</v>
      </c>
      <c r="F687" s="5" t="s">
        <v>7</v>
      </c>
      <c r="G687" s="5" t="s">
        <v>25</v>
      </c>
      <c r="H687" s="1">
        <f t="shared" si="21"/>
        <v>4200</v>
      </c>
    </row>
    <row r="688" spans="1:8" x14ac:dyDescent="0.3">
      <c r="A688" s="2" t="str">
        <f t="shared" si="20"/>
        <v>Dec-2023</v>
      </c>
      <c r="B688" s="2">
        <v>45261.076050706019</v>
      </c>
      <c r="C688" s="5" t="s">
        <v>9</v>
      </c>
      <c r="D688" s="3">
        <v>2</v>
      </c>
      <c r="E688" s="4">
        <v>3500</v>
      </c>
      <c r="F688" s="5" t="s">
        <v>24</v>
      </c>
      <c r="G688" s="5" t="s">
        <v>391</v>
      </c>
      <c r="H688" s="1">
        <f t="shared" si="21"/>
        <v>7000</v>
      </c>
    </row>
    <row r="689" spans="1:8" x14ac:dyDescent="0.3">
      <c r="A689" s="2" t="str">
        <f t="shared" si="20"/>
        <v>Dec-2023</v>
      </c>
      <c r="B689" s="2">
        <v>45261.56304202546</v>
      </c>
      <c r="C689" s="5" t="s">
        <v>36</v>
      </c>
      <c r="D689" s="3">
        <v>1</v>
      </c>
      <c r="E689" s="4">
        <v>1200</v>
      </c>
      <c r="F689" s="5" t="s">
        <v>13</v>
      </c>
      <c r="G689" s="5" t="s">
        <v>247</v>
      </c>
      <c r="H689" s="1">
        <f t="shared" si="21"/>
        <v>1200</v>
      </c>
    </row>
    <row r="690" spans="1:8" x14ac:dyDescent="0.3">
      <c r="A690" s="2" t="str">
        <f t="shared" si="20"/>
        <v>Dec-2023</v>
      </c>
      <c r="B690" s="2">
        <v>45262.050033356485</v>
      </c>
      <c r="C690" s="5" t="s">
        <v>36</v>
      </c>
      <c r="D690" s="3">
        <v>2</v>
      </c>
      <c r="E690" s="4">
        <v>450</v>
      </c>
      <c r="F690" s="5" t="s">
        <v>7</v>
      </c>
      <c r="G690" s="5" t="s">
        <v>325</v>
      </c>
      <c r="H690" s="1">
        <f t="shared" si="21"/>
        <v>900</v>
      </c>
    </row>
    <row r="691" spans="1:8" x14ac:dyDescent="0.3">
      <c r="A691" s="2" t="str">
        <f t="shared" si="20"/>
        <v>Dec-2023</v>
      </c>
      <c r="B691" s="2">
        <v>45262.537024687503</v>
      </c>
      <c r="C691" s="5" t="s">
        <v>12</v>
      </c>
      <c r="D691" s="3">
        <v>3</v>
      </c>
      <c r="E691" s="4">
        <v>1200</v>
      </c>
      <c r="F691" s="5" t="s">
        <v>13</v>
      </c>
      <c r="G691" s="5" t="s">
        <v>180</v>
      </c>
      <c r="H691" s="1">
        <f t="shared" si="21"/>
        <v>3600</v>
      </c>
    </row>
    <row r="692" spans="1:8" x14ac:dyDescent="0.3">
      <c r="A692" s="2" t="str">
        <f t="shared" si="20"/>
        <v>Dec-2023</v>
      </c>
      <c r="B692" s="2">
        <v>45263.024016006944</v>
      </c>
      <c r="C692" s="5" t="s">
        <v>9</v>
      </c>
      <c r="D692" s="3">
        <v>2</v>
      </c>
      <c r="E692" s="4">
        <v>150</v>
      </c>
      <c r="F692" s="5" t="s">
        <v>13</v>
      </c>
      <c r="G692" s="5" t="s">
        <v>63</v>
      </c>
      <c r="H692" s="1">
        <f t="shared" si="21"/>
        <v>300</v>
      </c>
    </row>
    <row r="693" spans="1:8" x14ac:dyDescent="0.3">
      <c r="A693" s="2" t="str">
        <f t="shared" si="20"/>
        <v>Dec-2023</v>
      </c>
      <c r="B693" s="2">
        <v>45263.511007337962</v>
      </c>
      <c r="C693" s="5" t="s">
        <v>6</v>
      </c>
      <c r="D693" s="3">
        <v>6</v>
      </c>
      <c r="E693" s="4">
        <v>150</v>
      </c>
      <c r="F693" s="5" t="s">
        <v>7</v>
      </c>
      <c r="G693" s="5" t="s">
        <v>339</v>
      </c>
      <c r="H693" s="1">
        <f t="shared" si="21"/>
        <v>900</v>
      </c>
    </row>
    <row r="694" spans="1:8" x14ac:dyDescent="0.3">
      <c r="A694" s="2" t="str">
        <f t="shared" si="20"/>
        <v>Dec-2023</v>
      </c>
      <c r="B694" s="2">
        <v>45263.99799866898</v>
      </c>
      <c r="C694" s="5" t="s">
        <v>26</v>
      </c>
      <c r="D694" s="3">
        <v>2</v>
      </c>
      <c r="E694" s="4">
        <v>1800</v>
      </c>
      <c r="F694" s="5" t="s">
        <v>24</v>
      </c>
      <c r="G694" s="5" t="s">
        <v>63</v>
      </c>
      <c r="H694" s="1">
        <f t="shared" si="21"/>
        <v>3600</v>
      </c>
    </row>
    <row r="695" spans="1:8" x14ac:dyDescent="0.3">
      <c r="A695" s="2" t="str">
        <f t="shared" si="20"/>
        <v>Dec-2023</v>
      </c>
      <c r="B695" s="2">
        <v>45264.484989988428</v>
      </c>
      <c r="C695" s="5" t="s">
        <v>36</v>
      </c>
      <c r="D695" s="3">
        <v>2</v>
      </c>
      <c r="E695" s="4">
        <v>1800</v>
      </c>
      <c r="F695" s="5" t="s">
        <v>7</v>
      </c>
      <c r="G695" s="5" t="s">
        <v>53</v>
      </c>
      <c r="H695" s="1">
        <f t="shared" si="21"/>
        <v>3600</v>
      </c>
    </row>
    <row r="696" spans="1:8" x14ac:dyDescent="0.3">
      <c r="A696" s="2" t="str">
        <f t="shared" si="20"/>
        <v>Dec-2023</v>
      </c>
      <c r="B696" s="2">
        <v>45264.971981319446</v>
      </c>
      <c r="C696" s="5" t="s">
        <v>6</v>
      </c>
      <c r="D696" s="3">
        <v>1</v>
      </c>
      <c r="E696" s="4">
        <v>700</v>
      </c>
      <c r="F696" s="5" t="s">
        <v>7</v>
      </c>
      <c r="G696" s="5" t="s">
        <v>65</v>
      </c>
      <c r="H696" s="1">
        <f t="shared" si="21"/>
        <v>700</v>
      </c>
    </row>
    <row r="697" spans="1:8" x14ac:dyDescent="0.3">
      <c r="A697" s="2" t="str">
        <f t="shared" si="20"/>
        <v>Dec-2023</v>
      </c>
      <c r="B697" s="2">
        <v>45265.458972650464</v>
      </c>
      <c r="C697" s="5" t="s">
        <v>36</v>
      </c>
      <c r="D697" s="3">
        <v>2</v>
      </c>
      <c r="E697" s="4">
        <v>3500</v>
      </c>
      <c r="F697" s="5" t="s">
        <v>13</v>
      </c>
      <c r="G697" s="5" t="s">
        <v>397</v>
      </c>
      <c r="H697" s="1">
        <f t="shared" si="21"/>
        <v>7000</v>
      </c>
    </row>
    <row r="698" spans="1:8" x14ac:dyDescent="0.3">
      <c r="A698" s="2" t="str">
        <f t="shared" si="20"/>
        <v>Dec-2023</v>
      </c>
      <c r="B698" s="2">
        <v>45265.945963981481</v>
      </c>
      <c r="C698" s="5" t="s">
        <v>36</v>
      </c>
      <c r="D698" s="3">
        <v>1</v>
      </c>
      <c r="E698" s="4">
        <v>1200</v>
      </c>
      <c r="F698" s="5" t="s">
        <v>7</v>
      </c>
      <c r="G698" s="5" t="s">
        <v>173</v>
      </c>
      <c r="H698" s="1">
        <f t="shared" si="21"/>
        <v>1200</v>
      </c>
    </row>
    <row r="699" spans="1:8" x14ac:dyDescent="0.3">
      <c r="A699" s="2" t="str">
        <f t="shared" si="20"/>
        <v>Dec-2023</v>
      </c>
      <c r="B699" s="2">
        <v>45266.432955300923</v>
      </c>
      <c r="C699" s="5" t="s">
        <v>36</v>
      </c>
      <c r="D699" s="3">
        <v>4</v>
      </c>
      <c r="E699" s="4">
        <v>150</v>
      </c>
      <c r="F699" s="5" t="s">
        <v>24</v>
      </c>
      <c r="G699" s="5" t="s">
        <v>252</v>
      </c>
      <c r="H699" s="1">
        <f t="shared" si="21"/>
        <v>600</v>
      </c>
    </row>
    <row r="700" spans="1:8" x14ac:dyDescent="0.3">
      <c r="A700" s="2" t="str">
        <f t="shared" si="20"/>
        <v>Dec-2023</v>
      </c>
      <c r="B700" s="2">
        <v>45266.919946631948</v>
      </c>
      <c r="C700" s="5" t="s">
        <v>26</v>
      </c>
      <c r="D700" s="3">
        <v>3</v>
      </c>
      <c r="E700" s="4">
        <v>1800</v>
      </c>
      <c r="F700" s="5" t="s">
        <v>7</v>
      </c>
      <c r="G700" s="5" t="s">
        <v>204</v>
      </c>
      <c r="H700" s="1">
        <f t="shared" si="21"/>
        <v>5400</v>
      </c>
    </row>
    <row r="701" spans="1:8" x14ac:dyDescent="0.3">
      <c r="A701" s="2" t="str">
        <f t="shared" si="20"/>
        <v>Dec-2023</v>
      </c>
      <c r="B701" s="2">
        <v>45267.406937962965</v>
      </c>
      <c r="C701" s="5" t="s">
        <v>9</v>
      </c>
      <c r="D701" s="3">
        <v>1</v>
      </c>
      <c r="E701" s="4">
        <v>3500</v>
      </c>
      <c r="F701" s="5" t="s">
        <v>24</v>
      </c>
      <c r="G701" s="5" t="s">
        <v>328</v>
      </c>
      <c r="H701" s="1">
        <f t="shared" si="21"/>
        <v>3500</v>
      </c>
    </row>
    <row r="702" spans="1:8" x14ac:dyDescent="0.3">
      <c r="A702" s="2" t="str">
        <f t="shared" si="20"/>
        <v>Dec-2023</v>
      </c>
      <c r="B702" s="2">
        <v>45267.893929282407</v>
      </c>
      <c r="C702" s="5" t="s">
        <v>26</v>
      </c>
      <c r="D702" s="3">
        <v>6</v>
      </c>
      <c r="E702" s="4">
        <v>1200</v>
      </c>
      <c r="F702" s="5" t="s">
        <v>24</v>
      </c>
      <c r="G702" s="5" t="s">
        <v>357</v>
      </c>
      <c r="H702" s="1">
        <f t="shared" si="21"/>
        <v>7200</v>
      </c>
    </row>
    <row r="703" spans="1:8" x14ac:dyDescent="0.3">
      <c r="A703" s="2" t="str">
        <f t="shared" si="20"/>
        <v>Dec-2023</v>
      </c>
      <c r="B703" s="2">
        <v>45268.380920613425</v>
      </c>
      <c r="C703" s="5" t="s">
        <v>17</v>
      </c>
      <c r="D703" s="3">
        <v>4</v>
      </c>
      <c r="E703" s="4">
        <v>1800</v>
      </c>
      <c r="F703" s="5" t="s">
        <v>13</v>
      </c>
      <c r="G703" s="5" t="s">
        <v>293</v>
      </c>
      <c r="H703" s="1">
        <f t="shared" si="21"/>
        <v>7200</v>
      </c>
    </row>
    <row r="704" spans="1:8" x14ac:dyDescent="0.3">
      <c r="A704" s="2" t="str">
        <f t="shared" si="20"/>
        <v>Dec-2023</v>
      </c>
      <c r="B704" s="2">
        <v>45268.867911944442</v>
      </c>
      <c r="C704" s="5" t="s">
        <v>6</v>
      </c>
      <c r="D704" s="3">
        <v>1</v>
      </c>
      <c r="E704" s="4">
        <v>1800</v>
      </c>
      <c r="F704" s="5" t="s">
        <v>10</v>
      </c>
      <c r="G704" s="5" t="s">
        <v>173</v>
      </c>
      <c r="H704" s="1">
        <f t="shared" si="21"/>
        <v>1800</v>
      </c>
    </row>
    <row r="705" spans="1:8" x14ac:dyDescent="0.3">
      <c r="A705" s="2" t="str">
        <f t="shared" si="20"/>
        <v>Dec-2023</v>
      </c>
      <c r="B705" s="2">
        <v>45269.354903263891</v>
      </c>
      <c r="C705" s="5" t="s">
        <v>9</v>
      </c>
      <c r="D705" s="3">
        <v>1</v>
      </c>
      <c r="E705" s="4">
        <v>150</v>
      </c>
      <c r="F705" s="5" t="s">
        <v>10</v>
      </c>
      <c r="G705" s="5" t="s">
        <v>146</v>
      </c>
      <c r="H705" s="1">
        <f t="shared" si="21"/>
        <v>150</v>
      </c>
    </row>
    <row r="706" spans="1:8" x14ac:dyDescent="0.3">
      <c r="A706" s="2" t="str">
        <f t="shared" si="20"/>
        <v>Dec-2023</v>
      </c>
      <c r="B706" s="2">
        <v>45269.841894594909</v>
      </c>
      <c r="C706" s="5" t="s">
        <v>9</v>
      </c>
      <c r="D706" s="3">
        <v>3</v>
      </c>
      <c r="E706" s="4">
        <v>150</v>
      </c>
      <c r="F706" s="5" t="s">
        <v>13</v>
      </c>
      <c r="G706" s="5" t="s">
        <v>398</v>
      </c>
      <c r="H706" s="1">
        <f t="shared" si="21"/>
        <v>450</v>
      </c>
    </row>
    <row r="707" spans="1:8" x14ac:dyDescent="0.3">
      <c r="A707" s="2" t="str">
        <f t="shared" ref="A707:A770" si="22">TEXT(B707, "mmm-yyyy")</f>
        <v>Dec-2023</v>
      </c>
      <c r="B707" s="2">
        <v>45270.328885925926</v>
      </c>
      <c r="C707" s="5" t="s">
        <v>9</v>
      </c>
      <c r="D707" s="3">
        <v>6</v>
      </c>
      <c r="E707" s="4">
        <v>1800</v>
      </c>
      <c r="F707" s="5" t="s">
        <v>7</v>
      </c>
      <c r="G707" s="5" t="s">
        <v>178</v>
      </c>
      <c r="H707" s="1">
        <f t="shared" ref="H707:H770" si="23" xml:space="preserve"> D707 * E707</f>
        <v>10800</v>
      </c>
    </row>
    <row r="708" spans="1:8" x14ac:dyDescent="0.3">
      <c r="A708" s="2" t="str">
        <f t="shared" si="22"/>
        <v>Dec-2023</v>
      </c>
      <c r="B708" s="2">
        <v>45270.815877256944</v>
      </c>
      <c r="C708" s="5" t="s">
        <v>9</v>
      </c>
      <c r="D708" s="3">
        <v>5</v>
      </c>
      <c r="E708" s="4">
        <v>450</v>
      </c>
      <c r="F708" s="5" t="s">
        <v>13</v>
      </c>
      <c r="G708" s="5" t="s">
        <v>19</v>
      </c>
      <c r="H708" s="1">
        <f t="shared" si="23"/>
        <v>2250</v>
      </c>
    </row>
    <row r="709" spans="1:8" x14ac:dyDescent="0.3">
      <c r="A709" s="2" t="str">
        <f t="shared" si="22"/>
        <v>Dec-2023</v>
      </c>
      <c r="B709" s="2">
        <v>45271.302868576386</v>
      </c>
      <c r="C709" s="5" t="s">
        <v>26</v>
      </c>
      <c r="D709" s="3">
        <v>5</v>
      </c>
      <c r="E709" s="4">
        <v>1800</v>
      </c>
      <c r="F709" s="5" t="s">
        <v>24</v>
      </c>
      <c r="G709" s="5" t="s">
        <v>304</v>
      </c>
      <c r="H709" s="1">
        <f t="shared" si="23"/>
        <v>9000</v>
      </c>
    </row>
    <row r="710" spans="1:8" x14ac:dyDescent="0.3">
      <c r="A710" s="2" t="str">
        <f t="shared" si="22"/>
        <v>Dec-2023</v>
      </c>
      <c r="B710" s="2">
        <v>45271.789859907411</v>
      </c>
      <c r="C710" s="5" t="s">
        <v>9</v>
      </c>
      <c r="D710" s="3">
        <v>1</v>
      </c>
      <c r="E710" s="4">
        <v>3500</v>
      </c>
      <c r="F710" s="5" t="s">
        <v>10</v>
      </c>
      <c r="G710" s="5" t="s">
        <v>275</v>
      </c>
      <c r="H710" s="1">
        <f t="shared" si="23"/>
        <v>3500</v>
      </c>
    </row>
    <row r="711" spans="1:8" x14ac:dyDescent="0.3">
      <c r="A711" s="2" t="str">
        <f t="shared" si="22"/>
        <v>Dec-2023</v>
      </c>
      <c r="B711" s="2">
        <v>45272.276851238428</v>
      </c>
      <c r="C711" s="5" t="s">
        <v>12</v>
      </c>
      <c r="D711" s="3">
        <v>2</v>
      </c>
      <c r="E711" s="4">
        <v>1800</v>
      </c>
      <c r="F711" s="5" t="s">
        <v>13</v>
      </c>
      <c r="G711" s="5" t="s">
        <v>155</v>
      </c>
      <c r="H711" s="1">
        <f t="shared" si="23"/>
        <v>3600</v>
      </c>
    </row>
    <row r="712" spans="1:8" x14ac:dyDescent="0.3">
      <c r="A712" s="2" t="str">
        <f t="shared" si="22"/>
        <v>Dec-2023</v>
      </c>
      <c r="B712" s="2">
        <v>45272.76384255787</v>
      </c>
      <c r="C712" s="5" t="s">
        <v>6</v>
      </c>
      <c r="D712" s="3">
        <v>6</v>
      </c>
      <c r="E712" s="4">
        <v>700</v>
      </c>
      <c r="F712" s="5" t="s">
        <v>7</v>
      </c>
      <c r="G712" s="5" t="s">
        <v>315</v>
      </c>
      <c r="H712" s="1">
        <f t="shared" si="23"/>
        <v>4200</v>
      </c>
    </row>
    <row r="713" spans="1:8" x14ac:dyDescent="0.3">
      <c r="A713" s="2" t="str">
        <f t="shared" si="22"/>
        <v>Dec-2023</v>
      </c>
      <c r="B713" s="2">
        <v>45273.250833888887</v>
      </c>
      <c r="C713" s="5" t="s">
        <v>9</v>
      </c>
      <c r="D713" s="3">
        <v>4</v>
      </c>
      <c r="E713" s="4">
        <v>700</v>
      </c>
      <c r="F713" s="5" t="s">
        <v>13</v>
      </c>
      <c r="G713" s="5" t="s">
        <v>399</v>
      </c>
      <c r="H713" s="1">
        <f t="shared" si="23"/>
        <v>2800</v>
      </c>
    </row>
    <row r="714" spans="1:8" x14ac:dyDescent="0.3">
      <c r="A714" s="2" t="str">
        <f t="shared" si="22"/>
        <v>Dec-2023</v>
      </c>
      <c r="B714" s="2">
        <v>45273.737825219905</v>
      </c>
      <c r="C714" s="5" t="s">
        <v>6</v>
      </c>
      <c r="D714" s="3">
        <v>2</v>
      </c>
      <c r="E714" s="4">
        <v>700</v>
      </c>
      <c r="F714" s="5" t="s">
        <v>10</v>
      </c>
      <c r="G714" s="5" t="s">
        <v>322</v>
      </c>
      <c r="H714" s="1">
        <f t="shared" si="23"/>
        <v>1400</v>
      </c>
    </row>
    <row r="715" spans="1:8" x14ac:dyDescent="0.3">
      <c r="A715" s="2" t="str">
        <f t="shared" si="22"/>
        <v>Dec-2023</v>
      </c>
      <c r="B715" s="2">
        <v>45274.224816539354</v>
      </c>
      <c r="C715" s="5" t="s">
        <v>12</v>
      </c>
      <c r="D715" s="3">
        <v>2</v>
      </c>
      <c r="E715" s="4">
        <v>450</v>
      </c>
      <c r="F715" s="5" t="s">
        <v>13</v>
      </c>
      <c r="G715" s="5" t="s">
        <v>25</v>
      </c>
      <c r="H715" s="1">
        <f t="shared" si="23"/>
        <v>900</v>
      </c>
    </row>
    <row r="716" spans="1:8" x14ac:dyDescent="0.3">
      <c r="A716" s="2" t="str">
        <f t="shared" si="22"/>
        <v>Dec-2023</v>
      </c>
      <c r="B716" s="2">
        <v>45274.711807870372</v>
      </c>
      <c r="C716" s="5" t="s">
        <v>12</v>
      </c>
      <c r="D716" s="3">
        <v>6</v>
      </c>
      <c r="E716" s="4">
        <v>450</v>
      </c>
      <c r="F716" s="5" t="s">
        <v>13</v>
      </c>
      <c r="G716" s="5" t="s">
        <v>295</v>
      </c>
      <c r="H716" s="1">
        <f t="shared" si="23"/>
        <v>2700</v>
      </c>
    </row>
    <row r="717" spans="1:8" x14ac:dyDescent="0.3">
      <c r="A717" s="2" t="str">
        <f t="shared" si="22"/>
        <v>Dec-2023</v>
      </c>
      <c r="B717" s="2">
        <v>45275.198799201389</v>
      </c>
      <c r="C717" s="5" t="s">
        <v>6</v>
      </c>
      <c r="D717" s="3">
        <v>1</v>
      </c>
      <c r="E717" s="4">
        <v>1800</v>
      </c>
      <c r="F717" s="5" t="s">
        <v>10</v>
      </c>
      <c r="G717" s="5" t="s">
        <v>331</v>
      </c>
      <c r="H717" s="1">
        <f t="shared" si="23"/>
        <v>1800</v>
      </c>
    </row>
    <row r="718" spans="1:8" x14ac:dyDescent="0.3">
      <c r="A718" s="2" t="str">
        <f t="shared" si="22"/>
        <v>Dec-2023</v>
      </c>
      <c r="B718" s="2">
        <v>45275.685790532407</v>
      </c>
      <c r="C718" s="5" t="s">
        <v>36</v>
      </c>
      <c r="D718" s="3">
        <v>1</v>
      </c>
      <c r="E718" s="4">
        <v>700</v>
      </c>
      <c r="F718" s="5" t="s">
        <v>24</v>
      </c>
      <c r="G718" s="5" t="s">
        <v>400</v>
      </c>
      <c r="H718" s="1">
        <f t="shared" si="23"/>
        <v>700</v>
      </c>
    </row>
    <row r="719" spans="1:8" x14ac:dyDescent="0.3">
      <c r="A719" s="2" t="str">
        <f t="shared" si="22"/>
        <v>Dec-2023</v>
      </c>
      <c r="B719" s="2">
        <v>45276.172781851848</v>
      </c>
      <c r="C719" s="5" t="s">
        <v>17</v>
      </c>
      <c r="D719" s="3">
        <v>1</v>
      </c>
      <c r="E719" s="4">
        <v>450</v>
      </c>
      <c r="F719" s="5" t="s">
        <v>24</v>
      </c>
      <c r="G719" s="5" t="s">
        <v>364</v>
      </c>
      <c r="H719" s="1">
        <f t="shared" si="23"/>
        <v>450</v>
      </c>
    </row>
    <row r="720" spans="1:8" x14ac:dyDescent="0.3">
      <c r="A720" s="2" t="str">
        <f t="shared" si="22"/>
        <v>Dec-2023</v>
      </c>
      <c r="B720" s="2">
        <v>45276.659773182873</v>
      </c>
      <c r="C720" s="5" t="s">
        <v>36</v>
      </c>
      <c r="D720" s="3">
        <v>1</v>
      </c>
      <c r="E720" s="4">
        <v>150</v>
      </c>
      <c r="F720" s="5" t="s">
        <v>10</v>
      </c>
      <c r="G720" s="5" t="s">
        <v>401</v>
      </c>
      <c r="H720" s="1">
        <f t="shared" si="23"/>
        <v>150</v>
      </c>
    </row>
    <row r="721" spans="1:8" x14ac:dyDescent="0.3">
      <c r="A721" s="2" t="str">
        <f t="shared" si="22"/>
        <v>Dec-2023</v>
      </c>
      <c r="B721" s="2">
        <v>45277.146764513891</v>
      </c>
      <c r="C721" s="5" t="s">
        <v>36</v>
      </c>
      <c r="D721" s="3">
        <v>5</v>
      </c>
      <c r="E721" s="4">
        <v>1800</v>
      </c>
      <c r="F721" s="5" t="s">
        <v>13</v>
      </c>
      <c r="G721" s="5" t="s">
        <v>115</v>
      </c>
      <c r="H721" s="1">
        <f t="shared" si="23"/>
        <v>9000</v>
      </c>
    </row>
    <row r="722" spans="1:8" x14ac:dyDescent="0.3">
      <c r="A722" s="2" t="str">
        <f t="shared" si="22"/>
        <v>Dec-2023</v>
      </c>
      <c r="B722" s="2">
        <v>45277.633755833333</v>
      </c>
      <c r="C722" s="5" t="s">
        <v>26</v>
      </c>
      <c r="D722" s="3">
        <v>1</v>
      </c>
      <c r="E722" s="4">
        <v>3500</v>
      </c>
      <c r="F722" s="5" t="s">
        <v>10</v>
      </c>
      <c r="G722" s="5" t="s">
        <v>238</v>
      </c>
      <c r="H722" s="1">
        <f t="shared" si="23"/>
        <v>3500</v>
      </c>
    </row>
    <row r="723" spans="1:8" x14ac:dyDescent="0.3">
      <c r="A723" s="2" t="str">
        <f t="shared" si="22"/>
        <v>Dec-2023</v>
      </c>
      <c r="B723" s="2">
        <v>45278.12074716435</v>
      </c>
      <c r="C723" s="5" t="s">
        <v>36</v>
      </c>
      <c r="D723" s="3">
        <v>5</v>
      </c>
      <c r="E723" s="4">
        <v>1200</v>
      </c>
      <c r="F723" s="5" t="s">
        <v>24</v>
      </c>
      <c r="G723" s="5" t="s">
        <v>86</v>
      </c>
      <c r="H723" s="1">
        <f t="shared" si="23"/>
        <v>6000</v>
      </c>
    </row>
    <row r="724" spans="1:8" x14ac:dyDescent="0.3">
      <c r="A724" s="2" t="str">
        <f t="shared" si="22"/>
        <v>Dec-2023</v>
      </c>
      <c r="B724" s="2">
        <v>45278.607738495368</v>
      </c>
      <c r="C724" s="5" t="s">
        <v>9</v>
      </c>
      <c r="D724" s="3">
        <v>5</v>
      </c>
      <c r="E724" s="4">
        <v>1800</v>
      </c>
      <c r="F724" s="5" t="s">
        <v>7</v>
      </c>
      <c r="G724" s="5" t="s">
        <v>32</v>
      </c>
      <c r="H724" s="1">
        <f t="shared" si="23"/>
        <v>9000</v>
      </c>
    </row>
    <row r="725" spans="1:8" x14ac:dyDescent="0.3">
      <c r="A725" s="2" t="str">
        <f t="shared" si="22"/>
        <v>Dec-2023</v>
      </c>
      <c r="B725" s="2">
        <v>45279.094729814817</v>
      </c>
      <c r="C725" s="5" t="s">
        <v>26</v>
      </c>
      <c r="D725" s="3">
        <v>1</v>
      </c>
      <c r="E725" s="4">
        <v>1200</v>
      </c>
      <c r="F725" s="5" t="s">
        <v>13</v>
      </c>
      <c r="G725" s="5" t="s">
        <v>46</v>
      </c>
      <c r="H725" s="1">
        <f t="shared" si="23"/>
        <v>1200</v>
      </c>
    </row>
    <row r="726" spans="1:8" x14ac:dyDescent="0.3">
      <c r="A726" s="2" t="str">
        <f t="shared" si="22"/>
        <v>Dec-2023</v>
      </c>
      <c r="B726" s="2">
        <v>45279.581721145834</v>
      </c>
      <c r="C726" s="5" t="s">
        <v>26</v>
      </c>
      <c r="D726" s="3">
        <v>3</v>
      </c>
      <c r="E726" s="4">
        <v>700</v>
      </c>
      <c r="F726" s="5" t="s">
        <v>24</v>
      </c>
      <c r="G726" s="5" t="s">
        <v>177</v>
      </c>
      <c r="H726" s="1">
        <f t="shared" si="23"/>
        <v>2100</v>
      </c>
    </row>
    <row r="727" spans="1:8" x14ac:dyDescent="0.3">
      <c r="A727" s="2" t="str">
        <f t="shared" si="22"/>
        <v>Dec-2023</v>
      </c>
      <c r="B727" s="2">
        <v>45280.068712476852</v>
      </c>
      <c r="C727" s="5" t="s">
        <v>12</v>
      </c>
      <c r="D727" s="3">
        <v>4</v>
      </c>
      <c r="E727" s="4">
        <v>1200</v>
      </c>
      <c r="F727" s="5" t="s">
        <v>13</v>
      </c>
      <c r="G727" s="5" t="s">
        <v>402</v>
      </c>
      <c r="H727" s="1">
        <f t="shared" si="23"/>
        <v>4800</v>
      </c>
    </row>
    <row r="728" spans="1:8" x14ac:dyDescent="0.3">
      <c r="A728" s="2" t="str">
        <f t="shared" si="22"/>
        <v>Dec-2023</v>
      </c>
      <c r="B728" s="2">
        <v>45280.55570380787</v>
      </c>
      <c r="C728" s="5" t="s">
        <v>36</v>
      </c>
      <c r="D728" s="3">
        <v>2</v>
      </c>
      <c r="E728" s="4">
        <v>700</v>
      </c>
      <c r="F728" s="5" t="s">
        <v>10</v>
      </c>
      <c r="G728" s="5" t="s">
        <v>287</v>
      </c>
      <c r="H728" s="1">
        <f t="shared" si="23"/>
        <v>1400</v>
      </c>
    </row>
    <row r="729" spans="1:8" x14ac:dyDescent="0.3">
      <c r="A729" s="2" t="str">
        <f t="shared" si="22"/>
        <v>Dec-2023</v>
      </c>
      <c r="B729" s="2">
        <v>45281.042695127318</v>
      </c>
      <c r="C729" s="5" t="s">
        <v>12</v>
      </c>
      <c r="D729" s="3">
        <v>5</v>
      </c>
      <c r="E729" s="4">
        <v>150</v>
      </c>
      <c r="F729" s="5" t="s">
        <v>7</v>
      </c>
      <c r="G729" s="5" t="s">
        <v>125</v>
      </c>
      <c r="H729" s="1">
        <f t="shared" si="23"/>
        <v>750</v>
      </c>
    </row>
    <row r="730" spans="1:8" x14ac:dyDescent="0.3">
      <c r="A730" s="2" t="str">
        <f t="shared" si="22"/>
        <v>Dec-2023</v>
      </c>
      <c r="B730" s="2">
        <v>45281.529686458336</v>
      </c>
      <c r="C730" s="5" t="s">
        <v>6</v>
      </c>
      <c r="D730" s="3">
        <v>6</v>
      </c>
      <c r="E730" s="4">
        <v>1200</v>
      </c>
      <c r="F730" s="5" t="s">
        <v>10</v>
      </c>
      <c r="G730" s="5" t="s">
        <v>112</v>
      </c>
      <c r="H730" s="1">
        <f t="shared" si="23"/>
        <v>7200</v>
      </c>
    </row>
    <row r="731" spans="1:8" x14ac:dyDescent="0.3">
      <c r="A731" s="2" t="str">
        <f t="shared" si="22"/>
        <v>Dec-2023</v>
      </c>
      <c r="B731" s="2">
        <v>45282.016677789354</v>
      </c>
      <c r="C731" s="5" t="s">
        <v>17</v>
      </c>
      <c r="D731" s="3">
        <v>6</v>
      </c>
      <c r="E731" s="4">
        <v>1800</v>
      </c>
      <c r="F731" s="5" t="s">
        <v>7</v>
      </c>
      <c r="G731" s="5" t="s">
        <v>65</v>
      </c>
      <c r="H731" s="1">
        <f t="shared" si="23"/>
        <v>10800</v>
      </c>
    </row>
    <row r="732" spans="1:8" x14ac:dyDescent="0.3">
      <c r="A732" s="2" t="str">
        <f t="shared" si="22"/>
        <v>Dec-2023</v>
      </c>
      <c r="B732" s="2">
        <v>45282.503669108795</v>
      </c>
      <c r="C732" s="5" t="s">
        <v>26</v>
      </c>
      <c r="D732" s="3">
        <v>4</v>
      </c>
      <c r="E732" s="4">
        <v>700</v>
      </c>
      <c r="F732" s="5" t="s">
        <v>13</v>
      </c>
      <c r="G732" s="5" t="s">
        <v>403</v>
      </c>
      <c r="H732" s="1">
        <f t="shared" si="23"/>
        <v>2800</v>
      </c>
    </row>
    <row r="733" spans="1:8" x14ac:dyDescent="0.3">
      <c r="A733" s="2" t="str">
        <f t="shared" si="22"/>
        <v>Dec-2023</v>
      </c>
      <c r="B733" s="2">
        <v>45282.990660439813</v>
      </c>
      <c r="C733" s="5" t="s">
        <v>6</v>
      </c>
      <c r="D733" s="3">
        <v>6</v>
      </c>
      <c r="E733" s="4">
        <v>1800</v>
      </c>
      <c r="F733" s="5" t="s">
        <v>13</v>
      </c>
      <c r="G733" s="5" t="s">
        <v>404</v>
      </c>
      <c r="H733" s="1">
        <f t="shared" si="23"/>
        <v>10800</v>
      </c>
    </row>
    <row r="734" spans="1:8" x14ac:dyDescent="0.3">
      <c r="A734" s="2" t="str">
        <f t="shared" si="22"/>
        <v>Dec-2023</v>
      </c>
      <c r="B734" s="2">
        <v>45283.477651770831</v>
      </c>
      <c r="C734" s="5" t="s">
        <v>6</v>
      </c>
      <c r="D734" s="3">
        <v>3</v>
      </c>
      <c r="E734" s="4">
        <v>450</v>
      </c>
      <c r="F734" s="5" t="s">
        <v>10</v>
      </c>
      <c r="G734" s="5" t="s">
        <v>74</v>
      </c>
      <c r="H734" s="1">
        <f t="shared" si="23"/>
        <v>1350</v>
      </c>
    </row>
    <row r="735" spans="1:8" x14ac:dyDescent="0.3">
      <c r="A735" s="2" t="str">
        <f t="shared" si="22"/>
        <v>Dec-2023</v>
      </c>
      <c r="B735" s="2">
        <v>45283.964643090279</v>
      </c>
      <c r="C735" s="5" t="s">
        <v>9</v>
      </c>
      <c r="D735" s="3">
        <v>6</v>
      </c>
      <c r="E735" s="4">
        <v>700</v>
      </c>
      <c r="F735" s="5" t="s">
        <v>7</v>
      </c>
      <c r="G735" s="5" t="s">
        <v>405</v>
      </c>
      <c r="H735" s="1">
        <f t="shared" si="23"/>
        <v>4200</v>
      </c>
    </row>
    <row r="736" spans="1:8" x14ac:dyDescent="0.3">
      <c r="A736" s="2" t="str">
        <f t="shared" si="22"/>
        <v>Dec-2023</v>
      </c>
      <c r="B736" s="2">
        <v>45284.451634421297</v>
      </c>
      <c r="C736" s="5" t="s">
        <v>17</v>
      </c>
      <c r="D736" s="3">
        <v>2</v>
      </c>
      <c r="E736" s="4">
        <v>1200</v>
      </c>
      <c r="F736" s="5" t="s">
        <v>7</v>
      </c>
      <c r="G736" s="5" t="s">
        <v>209</v>
      </c>
      <c r="H736" s="1">
        <f t="shared" si="23"/>
        <v>2400</v>
      </c>
    </row>
    <row r="737" spans="1:8" x14ac:dyDescent="0.3">
      <c r="A737" s="2" t="str">
        <f t="shared" si="22"/>
        <v>Dec-2023</v>
      </c>
      <c r="B737" s="2">
        <v>45284.938625752315</v>
      </c>
      <c r="C737" s="5" t="s">
        <v>6</v>
      </c>
      <c r="D737" s="3">
        <v>2</v>
      </c>
      <c r="E737" s="4">
        <v>700</v>
      </c>
      <c r="F737" s="5" t="s">
        <v>13</v>
      </c>
      <c r="G737" s="5" t="s">
        <v>87</v>
      </c>
      <c r="H737" s="1">
        <f t="shared" si="23"/>
        <v>1400</v>
      </c>
    </row>
    <row r="738" spans="1:8" x14ac:dyDescent="0.3">
      <c r="A738" s="2" t="str">
        <f t="shared" si="22"/>
        <v>Dec-2023</v>
      </c>
      <c r="B738" s="2">
        <v>45285.425617083332</v>
      </c>
      <c r="C738" s="5" t="s">
        <v>6</v>
      </c>
      <c r="D738" s="3">
        <v>5</v>
      </c>
      <c r="E738" s="4">
        <v>1800</v>
      </c>
      <c r="F738" s="5" t="s">
        <v>10</v>
      </c>
      <c r="G738" s="5" t="s">
        <v>385</v>
      </c>
      <c r="H738" s="1">
        <f t="shared" si="23"/>
        <v>9000</v>
      </c>
    </row>
    <row r="739" spans="1:8" x14ac:dyDescent="0.3">
      <c r="A739" s="2" t="str">
        <f t="shared" si="22"/>
        <v>Dec-2023</v>
      </c>
      <c r="B739" s="2">
        <v>45285.912608402781</v>
      </c>
      <c r="C739" s="5" t="s">
        <v>17</v>
      </c>
      <c r="D739" s="3">
        <v>1</v>
      </c>
      <c r="E739" s="4">
        <v>150</v>
      </c>
      <c r="F739" s="5" t="s">
        <v>7</v>
      </c>
      <c r="G739" s="5" t="s">
        <v>339</v>
      </c>
      <c r="H739" s="1">
        <f t="shared" si="23"/>
        <v>150</v>
      </c>
    </row>
    <row r="740" spans="1:8" x14ac:dyDescent="0.3">
      <c r="A740" s="2" t="str">
        <f t="shared" si="22"/>
        <v>Dec-2023</v>
      </c>
      <c r="B740" s="2">
        <v>45286.399599733799</v>
      </c>
      <c r="C740" s="5" t="s">
        <v>17</v>
      </c>
      <c r="D740" s="3">
        <v>3</v>
      </c>
      <c r="E740" s="4">
        <v>700</v>
      </c>
      <c r="F740" s="5" t="s">
        <v>13</v>
      </c>
      <c r="G740" s="5" t="s">
        <v>274</v>
      </c>
      <c r="H740" s="1">
        <f t="shared" si="23"/>
        <v>2100</v>
      </c>
    </row>
    <row r="741" spans="1:8" x14ac:dyDescent="0.3">
      <c r="A741" s="2" t="str">
        <f t="shared" si="22"/>
        <v>Dec-2023</v>
      </c>
      <c r="B741" s="2">
        <v>45286.886591064816</v>
      </c>
      <c r="C741" s="5" t="s">
        <v>6</v>
      </c>
      <c r="D741" s="3">
        <v>5</v>
      </c>
      <c r="E741" s="4">
        <v>1200</v>
      </c>
      <c r="F741" s="5" t="s">
        <v>24</v>
      </c>
      <c r="G741" s="5" t="s">
        <v>54</v>
      </c>
      <c r="H741" s="1">
        <f t="shared" si="23"/>
        <v>6000</v>
      </c>
    </row>
    <row r="742" spans="1:8" x14ac:dyDescent="0.3">
      <c r="A742" s="2" t="str">
        <f t="shared" si="22"/>
        <v>Dec-2023</v>
      </c>
      <c r="B742" s="2">
        <v>45287.373582384258</v>
      </c>
      <c r="C742" s="5" t="s">
        <v>17</v>
      </c>
      <c r="D742" s="3">
        <v>3</v>
      </c>
      <c r="E742" s="4">
        <v>450</v>
      </c>
      <c r="F742" s="5" t="s">
        <v>10</v>
      </c>
      <c r="G742" s="5" t="s">
        <v>42</v>
      </c>
      <c r="H742" s="1">
        <f t="shared" si="23"/>
        <v>1350</v>
      </c>
    </row>
    <row r="743" spans="1:8" x14ac:dyDescent="0.3">
      <c r="A743" s="2" t="str">
        <f t="shared" si="22"/>
        <v>Dec-2023</v>
      </c>
      <c r="B743" s="2">
        <v>45287.860573715276</v>
      </c>
      <c r="C743" s="5" t="s">
        <v>6</v>
      </c>
      <c r="D743" s="3">
        <v>1</v>
      </c>
      <c r="E743" s="4">
        <v>3500</v>
      </c>
      <c r="F743" s="5" t="s">
        <v>24</v>
      </c>
      <c r="G743" s="5" t="s">
        <v>241</v>
      </c>
      <c r="H743" s="1">
        <f t="shared" si="23"/>
        <v>3500</v>
      </c>
    </row>
    <row r="744" spans="1:8" x14ac:dyDescent="0.3">
      <c r="A744" s="2" t="str">
        <f t="shared" si="22"/>
        <v>Dec-2023</v>
      </c>
      <c r="B744" s="2">
        <v>45288.347565046293</v>
      </c>
      <c r="C744" s="5" t="s">
        <v>6</v>
      </c>
      <c r="D744" s="3">
        <v>6</v>
      </c>
      <c r="E744" s="4">
        <v>150</v>
      </c>
      <c r="F744" s="5" t="s">
        <v>10</v>
      </c>
      <c r="G744" s="5" t="s">
        <v>249</v>
      </c>
      <c r="H744" s="1">
        <f t="shared" si="23"/>
        <v>900</v>
      </c>
    </row>
    <row r="745" spans="1:8" x14ac:dyDescent="0.3">
      <c r="A745" s="2" t="str">
        <f t="shared" si="22"/>
        <v>Dec-2023</v>
      </c>
      <c r="B745" s="2">
        <v>45288.834556365742</v>
      </c>
      <c r="C745" s="5" t="s">
        <v>9</v>
      </c>
      <c r="D745" s="3">
        <v>6</v>
      </c>
      <c r="E745" s="4">
        <v>450</v>
      </c>
      <c r="F745" s="5" t="s">
        <v>13</v>
      </c>
      <c r="G745" s="5" t="s">
        <v>58</v>
      </c>
      <c r="H745" s="1">
        <f t="shared" si="23"/>
        <v>2700</v>
      </c>
    </row>
    <row r="746" spans="1:8" x14ac:dyDescent="0.3">
      <c r="A746" s="2" t="str">
        <f t="shared" si="22"/>
        <v>Dec-2023</v>
      </c>
      <c r="B746" s="2">
        <v>45289.32154769676</v>
      </c>
      <c r="C746" s="5" t="s">
        <v>36</v>
      </c>
      <c r="D746" s="3">
        <v>1</v>
      </c>
      <c r="E746" s="4">
        <v>700</v>
      </c>
      <c r="F746" s="5" t="s">
        <v>7</v>
      </c>
      <c r="G746" s="5" t="s">
        <v>242</v>
      </c>
      <c r="H746" s="1">
        <f t="shared" si="23"/>
        <v>700</v>
      </c>
    </row>
    <row r="747" spans="1:8" x14ac:dyDescent="0.3">
      <c r="A747" s="2" t="str">
        <f t="shared" si="22"/>
        <v>Dec-2023</v>
      </c>
      <c r="B747" s="2">
        <v>45289.808539027777</v>
      </c>
      <c r="C747" s="5" t="s">
        <v>6</v>
      </c>
      <c r="D747" s="3">
        <v>5</v>
      </c>
      <c r="E747" s="4">
        <v>1800</v>
      </c>
      <c r="F747" s="5" t="s">
        <v>7</v>
      </c>
      <c r="G747" s="5" t="s">
        <v>314</v>
      </c>
      <c r="H747" s="1">
        <f t="shared" si="23"/>
        <v>9000</v>
      </c>
    </row>
    <row r="748" spans="1:8" x14ac:dyDescent="0.3">
      <c r="A748" s="2" t="str">
        <f t="shared" si="22"/>
        <v>Dec-2023</v>
      </c>
      <c r="B748" s="2">
        <v>45290.295530358795</v>
      </c>
      <c r="C748" s="5" t="s">
        <v>12</v>
      </c>
      <c r="D748" s="3">
        <v>1</v>
      </c>
      <c r="E748" s="4">
        <v>1800</v>
      </c>
      <c r="F748" s="5" t="s">
        <v>7</v>
      </c>
      <c r="G748" s="5" t="s">
        <v>82</v>
      </c>
      <c r="H748" s="1">
        <f t="shared" si="23"/>
        <v>1800</v>
      </c>
    </row>
    <row r="749" spans="1:8" x14ac:dyDescent="0.3">
      <c r="A749" s="2" t="str">
        <f t="shared" si="22"/>
        <v>Dec-2023</v>
      </c>
      <c r="B749" s="2">
        <v>45290.782521678244</v>
      </c>
      <c r="C749" s="5" t="s">
        <v>26</v>
      </c>
      <c r="D749" s="3">
        <v>4</v>
      </c>
      <c r="E749" s="4">
        <v>1200</v>
      </c>
      <c r="F749" s="5" t="s">
        <v>10</v>
      </c>
      <c r="G749" s="5" t="s">
        <v>406</v>
      </c>
      <c r="H749" s="1">
        <f t="shared" si="23"/>
        <v>4800</v>
      </c>
    </row>
    <row r="750" spans="1:8" x14ac:dyDescent="0.3">
      <c r="A750" s="2" t="str">
        <f t="shared" si="22"/>
        <v>Dec-2023</v>
      </c>
      <c r="B750" s="2">
        <v>45291.269513009262</v>
      </c>
      <c r="C750" s="5" t="s">
        <v>36</v>
      </c>
      <c r="D750" s="3">
        <v>2</v>
      </c>
      <c r="E750" s="4">
        <v>1800</v>
      </c>
      <c r="F750" s="5" t="s">
        <v>13</v>
      </c>
      <c r="G750" s="5" t="s">
        <v>407</v>
      </c>
      <c r="H750" s="1">
        <f t="shared" si="23"/>
        <v>3600</v>
      </c>
    </row>
    <row r="751" spans="1:8" x14ac:dyDescent="0.3">
      <c r="A751" s="2" t="str">
        <f t="shared" si="22"/>
        <v>Dec-2023</v>
      </c>
      <c r="B751" s="2">
        <v>45291.756504340279</v>
      </c>
      <c r="C751" s="5" t="s">
        <v>36</v>
      </c>
      <c r="D751" s="3">
        <v>5</v>
      </c>
      <c r="E751" s="4">
        <v>150</v>
      </c>
      <c r="F751" s="5" t="s">
        <v>24</v>
      </c>
      <c r="G751" s="5" t="s">
        <v>200</v>
      </c>
      <c r="H751" s="1">
        <f t="shared" si="23"/>
        <v>750</v>
      </c>
    </row>
    <row r="752" spans="1:8" x14ac:dyDescent="0.3">
      <c r="A752" s="2" t="str">
        <f t="shared" si="22"/>
        <v>Jan-2024</v>
      </c>
      <c r="B752" s="2">
        <v>45292.243495659721</v>
      </c>
      <c r="C752" s="5" t="s">
        <v>36</v>
      </c>
      <c r="D752" s="3">
        <v>3</v>
      </c>
      <c r="E752" s="4">
        <v>1800</v>
      </c>
      <c r="F752" s="5" t="s">
        <v>13</v>
      </c>
      <c r="G752" s="5" t="s">
        <v>88</v>
      </c>
      <c r="H752" s="1">
        <f t="shared" si="23"/>
        <v>5400</v>
      </c>
    </row>
    <row r="753" spans="1:8" x14ac:dyDescent="0.3">
      <c r="A753" s="2" t="str">
        <f t="shared" si="22"/>
        <v>Jan-2024</v>
      </c>
      <c r="B753" s="2">
        <v>45292.730486990738</v>
      </c>
      <c r="C753" s="5" t="s">
        <v>9</v>
      </c>
      <c r="D753" s="3">
        <v>4</v>
      </c>
      <c r="E753" s="4">
        <v>1200</v>
      </c>
      <c r="F753" s="5" t="s">
        <v>24</v>
      </c>
      <c r="G753" s="5" t="s">
        <v>170</v>
      </c>
      <c r="H753" s="1">
        <f t="shared" si="23"/>
        <v>4800</v>
      </c>
    </row>
    <row r="754" spans="1:8" x14ac:dyDescent="0.3">
      <c r="A754" s="2" t="str">
        <f t="shared" si="22"/>
        <v>Jan-2024</v>
      </c>
      <c r="B754" s="2">
        <v>45293.217478321756</v>
      </c>
      <c r="C754" s="5" t="s">
        <v>6</v>
      </c>
      <c r="D754" s="3">
        <v>5</v>
      </c>
      <c r="E754" s="4">
        <v>3500</v>
      </c>
      <c r="F754" s="5" t="s">
        <v>10</v>
      </c>
      <c r="G754" s="5" t="s">
        <v>408</v>
      </c>
      <c r="H754" s="1">
        <f t="shared" si="23"/>
        <v>17500</v>
      </c>
    </row>
    <row r="755" spans="1:8" x14ac:dyDescent="0.3">
      <c r="A755" s="2" t="str">
        <f t="shared" si="22"/>
        <v>Jan-2024</v>
      </c>
      <c r="B755" s="2">
        <v>45293.704469641205</v>
      </c>
      <c r="C755" s="5" t="s">
        <v>9</v>
      </c>
      <c r="D755" s="3">
        <v>1</v>
      </c>
      <c r="E755" s="4">
        <v>700</v>
      </c>
      <c r="F755" s="5" t="s">
        <v>10</v>
      </c>
      <c r="G755" s="5" t="s">
        <v>346</v>
      </c>
      <c r="H755" s="1">
        <f t="shared" si="23"/>
        <v>700</v>
      </c>
    </row>
    <row r="756" spans="1:8" x14ac:dyDescent="0.3">
      <c r="A756" s="2" t="str">
        <f t="shared" si="22"/>
        <v>Jan-2024</v>
      </c>
      <c r="B756" s="2">
        <v>45294.191460972223</v>
      </c>
      <c r="C756" s="5" t="s">
        <v>6</v>
      </c>
      <c r="D756" s="3">
        <v>1</v>
      </c>
      <c r="E756" s="4">
        <v>700</v>
      </c>
      <c r="F756" s="5" t="s">
        <v>24</v>
      </c>
      <c r="G756" s="5" t="s">
        <v>233</v>
      </c>
      <c r="H756" s="1">
        <f t="shared" si="23"/>
        <v>700</v>
      </c>
    </row>
    <row r="757" spans="1:8" x14ac:dyDescent="0.3">
      <c r="A757" s="2" t="str">
        <f t="shared" si="22"/>
        <v>Jan-2024</v>
      </c>
      <c r="B757" s="2">
        <v>45294.67845230324</v>
      </c>
      <c r="C757" s="5" t="s">
        <v>9</v>
      </c>
      <c r="D757" s="3">
        <v>1</v>
      </c>
      <c r="E757" s="4">
        <v>1800</v>
      </c>
      <c r="F757" s="5" t="s">
        <v>24</v>
      </c>
      <c r="G757" s="5" t="s">
        <v>51</v>
      </c>
      <c r="H757" s="1">
        <f t="shared" si="23"/>
        <v>1800</v>
      </c>
    </row>
    <row r="758" spans="1:8" x14ac:dyDescent="0.3">
      <c r="A758" s="2" t="str">
        <f t="shared" si="22"/>
        <v>Jan-2024</v>
      </c>
      <c r="B758" s="2">
        <v>45295.165443634258</v>
      </c>
      <c r="C758" s="5" t="s">
        <v>9</v>
      </c>
      <c r="D758" s="3">
        <v>1</v>
      </c>
      <c r="E758" s="4">
        <v>450</v>
      </c>
      <c r="F758" s="5" t="s">
        <v>24</v>
      </c>
      <c r="G758" s="5" t="s">
        <v>38</v>
      </c>
      <c r="H758" s="1">
        <f t="shared" si="23"/>
        <v>450</v>
      </c>
    </row>
    <row r="759" spans="1:8" x14ac:dyDescent="0.3">
      <c r="A759" s="2" t="str">
        <f t="shared" si="22"/>
        <v>Jan-2024</v>
      </c>
      <c r="B759" s="2">
        <v>45295.652434953707</v>
      </c>
      <c r="C759" s="5" t="s">
        <v>26</v>
      </c>
      <c r="D759" s="3">
        <v>3</v>
      </c>
      <c r="E759" s="4">
        <v>700</v>
      </c>
      <c r="F759" s="5" t="s">
        <v>13</v>
      </c>
      <c r="G759" s="5" t="s">
        <v>357</v>
      </c>
      <c r="H759" s="1">
        <f t="shared" si="23"/>
        <v>2100</v>
      </c>
    </row>
    <row r="760" spans="1:8" x14ac:dyDescent="0.3">
      <c r="A760" s="2" t="str">
        <f t="shared" si="22"/>
        <v>Jan-2024</v>
      </c>
      <c r="B760" s="2">
        <v>45296.139426284724</v>
      </c>
      <c r="C760" s="5" t="s">
        <v>12</v>
      </c>
      <c r="D760" s="3">
        <v>4</v>
      </c>
      <c r="E760" s="4">
        <v>3500</v>
      </c>
      <c r="F760" s="5" t="s">
        <v>24</v>
      </c>
      <c r="G760" s="5" t="s">
        <v>248</v>
      </c>
      <c r="H760" s="1">
        <f t="shared" si="23"/>
        <v>14000</v>
      </c>
    </row>
    <row r="761" spans="1:8" x14ac:dyDescent="0.3">
      <c r="A761" s="2" t="str">
        <f t="shared" si="22"/>
        <v>Jan-2024</v>
      </c>
      <c r="B761" s="2">
        <v>45296.626417615742</v>
      </c>
      <c r="C761" s="5" t="s">
        <v>9</v>
      </c>
      <c r="D761" s="3">
        <v>6</v>
      </c>
      <c r="E761" s="4">
        <v>1800</v>
      </c>
      <c r="F761" s="5" t="s">
        <v>10</v>
      </c>
      <c r="G761" s="5" t="s">
        <v>409</v>
      </c>
      <c r="H761" s="1">
        <f t="shared" si="23"/>
        <v>10800</v>
      </c>
    </row>
    <row r="762" spans="1:8" x14ac:dyDescent="0.3">
      <c r="A762" s="2" t="str">
        <f t="shared" si="22"/>
        <v>Jan-2024</v>
      </c>
      <c r="B762" s="2">
        <v>45297.113408935184</v>
      </c>
      <c r="C762" s="5" t="s">
        <v>26</v>
      </c>
      <c r="D762" s="3">
        <v>2</v>
      </c>
      <c r="E762" s="4">
        <v>1200</v>
      </c>
      <c r="F762" s="5" t="s">
        <v>10</v>
      </c>
      <c r="G762" s="5" t="s">
        <v>189</v>
      </c>
      <c r="H762" s="1">
        <f t="shared" si="23"/>
        <v>2400</v>
      </c>
    </row>
    <row r="763" spans="1:8" x14ac:dyDescent="0.3">
      <c r="A763" s="2" t="str">
        <f t="shared" si="22"/>
        <v>Jan-2024</v>
      </c>
      <c r="B763" s="2">
        <v>45297.600400266201</v>
      </c>
      <c r="C763" s="5" t="s">
        <v>17</v>
      </c>
      <c r="D763" s="3">
        <v>3</v>
      </c>
      <c r="E763" s="4">
        <v>3500</v>
      </c>
      <c r="F763" s="5" t="s">
        <v>7</v>
      </c>
      <c r="G763" s="5" t="s">
        <v>243</v>
      </c>
      <c r="H763" s="1">
        <f t="shared" si="23"/>
        <v>10500</v>
      </c>
    </row>
    <row r="764" spans="1:8" x14ac:dyDescent="0.3">
      <c r="A764" s="2" t="str">
        <f t="shared" si="22"/>
        <v>Jan-2024</v>
      </c>
      <c r="B764" s="2">
        <v>45298.087391597219</v>
      </c>
      <c r="C764" s="5" t="s">
        <v>12</v>
      </c>
      <c r="D764" s="3">
        <v>3</v>
      </c>
      <c r="E764" s="4">
        <v>1800</v>
      </c>
      <c r="F764" s="5" t="s">
        <v>24</v>
      </c>
      <c r="G764" s="5" t="s">
        <v>348</v>
      </c>
      <c r="H764" s="1">
        <f t="shared" si="23"/>
        <v>5400</v>
      </c>
    </row>
    <row r="765" spans="1:8" x14ac:dyDescent="0.3">
      <c r="A765" s="2" t="str">
        <f t="shared" si="22"/>
        <v>Jan-2024</v>
      </c>
      <c r="B765" s="2">
        <v>45298.574382916668</v>
      </c>
      <c r="C765" s="5" t="s">
        <v>9</v>
      </c>
      <c r="D765" s="3">
        <v>6</v>
      </c>
      <c r="E765" s="4">
        <v>3500</v>
      </c>
      <c r="F765" s="5" t="s">
        <v>13</v>
      </c>
      <c r="G765" s="5" t="s">
        <v>410</v>
      </c>
      <c r="H765" s="1">
        <f t="shared" si="23"/>
        <v>21000</v>
      </c>
    </row>
    <row r="766" spans="1:8" x14ac:dyDescent="0.3">
      <c r="A766" s="2" t="str">
        <f t="shared" si="22"/>
        <v>Jan-2024</v>
      </c>
      <c r="B766" s="2">
        <v>45299.061374247685</v>
      </c>
      <c r="C766" s="5" t="s">
        <v>36</v>
      </c>
      <c r="D766" s="3">
        <v>6</v>
      </c>
      <c r="E766" s="4">
        <v>700</v>
      </c>
      <c r="F766" s="5" t="s">
        <v>13</v>
      </c>
      <c r="G766" s="5" t="s">
        <v>339</v>
      </c>
      <c r="H766" s="1">
        <f t="shared" si="23"/>
        <v>4200</v>
      </c>
    </row>
    <row r="767" spans="1:8" x14ac:dyDescent="0.3">
      <c r="A767" s="2" t="str">
        <f t="shared" si="22"/>
        <v>Jan-2024</v>
      </c>
      <c r="B767" s="2">
        <v>45299.548365578703</v>
      </c>
      <c r="C767" s="5" t="s">
        <v>17</v>
      </c>
      <c r="D767" s="3">
        <v>2</v>
      </c>
      <c r="E767" s="4">
        <v>1200</v>
      </c>
      <c r="F767" s="5" t="s">
        <v>13</v>
      </c>
      <c r="G767" s="5" t="s">
        <v>168</v>
      </c>
      <c r="H767" s="1">
        <f t="shared" si="23"/>
        <v>2400</v>
      </c>
    </row>
    <row r="768" spans="1:8" x14ac:dyDescent="0.3">
      <c r="A768" s="2" t="str">
        <f t="shared" si="22"/>
        <v>Jan-2024</v>
      </c>
      <c r="B768" s="2">
        <v>45300.035356909721</v>
      </c>
      <c r="C768" s="5" t="s">
        <v>17</v>
      </c>
      <c r="D768" s="3">
        <v>2</v>
      </c>
      <c r="E768" s="4">
        <v>1800</v>
      </c>
      <c r="F768" s="5" t="s">
        <v>7</v>
      </c>
      <c r="G768" s="5" t="s">
        <v>411</v>
      </c>
      <c r="H768" s="1">
        <f t="shared" si="23"/>
        <v>3600</v>
      </c>
    </row>
    <row r="769" spans="1:8" x14ac:dyDescent="0.3">
      <c r="A769" s="2" t="str">
        <f t="shared" si="22"/>
        <v>Jan-2024</v>
      </c>
      <c r="B769" s="2">
        <v>45300.522348229169</v>
      </c>
      <c r="C769" s="5" t="s">
        <v>26</v>
      </c>
      <c r="D769" s="3">
        <v>6</v>
      </c>
      <c r="E769" s="4">
        <v>150</v>
      </c>
      <c r="F769" s="5" t="s">
        <v>10</v>
      </c>
      <c r="G769" s="5" t="s">
        <v>78</v>
      </c>
      <c r="H769" s="1">
        <f t="shared" si="23"/>
        <v>900</v>
      </c>
    </row>
    <row r="770" spans="1:8" x14ac:dyDescent="0.3">
      <c r="A770" s="2" t="str">
        <f t="shared" si="22"/>
        <v>Jan-2024</v>
      </c>
      <c r="B770" s="2">
        <v>45301.009339560187</v>
      </c>
      <c r="C770" s="5" t="s">
        <v>17</v>
      </c>
      <c r="D770" s="3">
        <v>1</v>
      </c>
      <c r="E770" s="4">
        <v>1200</v>
      </c>
      <c r="F770" s="5" t="s">
        <v>13</v>
      </c>
      <c r="G770" s="5" t="s">
        <v>256</v>
      </c>
      <c r="H770" s="1">
        <f t="shared" si="23"/>
        <v>1200</v>
      </c>
    </row>
    <row r="771" spans="1:8" x14ac:dyDescent="0.3">
      <c r="A771" s="2" t="str">
        <f t="shared" ref="A771:A834" si="24">TEXT(B771, "mmm-yyyy")</f>
        <v>Jan-2024</v>
      </c>
      <c r="B771" s="2">
        <v>45301.496330891205</v>
      </c>
      <c r="C771" s="5" t="s">
        <v>12</v>
      </c>
      <c r="D771" s="3">
        <v>3</v>
      </c>
      <c r="E771" s="4">
        <v>150</v>
      </c>
      <c r="F771" s="5" t="s">
        <v>10</v>
      </c>
      <c r="G771" s="5" t="s">
        <v>412</v>
      </c>
      <c r="H771" s="1">
        <f t="shared" ref="H771:H834" si="25" xml:space="preserve"> D771 * E771</f>
        <v>450</v>
      </c>
    </row>
    <row r="772" spans="1:8" x14ac:dyDescent="0.3">
      <c r="A772" s="2" t="str">
        <f t="shared" si="24"/>
        <v>Jan-2024</v>
      </c>
      <c r="B772" s="2">
        <v>45301.983322210646</v>
      </c>
      <c r="C772" s="5" t="s">
        <v>9</v>
      </c>
      <c r="D772" s="3">
        <v>5</v>
      </c>
      <c r="E772" s="4">
        <v>3500</v>
      </c>
      <c r="F772" s="5" t="s">
        <v>7</v>
      </c>
      <c r="G772" s="5" t="s">
        <v>246</v>
      </c>
      <c r="H772" s="1">
        <f t="shared" si="25"/>
        <v>17500</v>
      </c>
    </row>
    <row r="773" spans="1:8" x14ac:dyDescent="0.3">
      <c r="A773" s="2" t="str">
        <f t="shared" si="24"/>
        <v>Jan-2024</v>
      </c>
      <c r="B773" s="2">
        <v>45302.470313541664</v>
      </c>
      <c r="C773" s="5" t="s">
        <v>9</v>
      </c>
      <c r="D773" s="3">
        <v>2</v>
      </c>
      <c r="E773" s="4">
        <v>450</v>
      </c>
      <c r="F773" s="5" t="s">
        <v>24</v>
      </c>
      <c r="G773" s="5" t="s">
        <v>174</v>
      </c>
      <c r="H773" s="1">
        <f t="shared" si="25"/>
        <v>900</v>
      </c>
    </row>
    <row r="774" spans="1:8" x14ac:dyDescent="0.3">
      <c r="A774" s="2" t="str">
        <f t="shared" si="24"/>
        <v>Jan-2024</v>
      </c>
      <c r="B774" s="2">
        <v>45302.957304872682</v>
      </c>
      <c r="C774" s="5" t="s">
        <v>36</v>
      </c>
      <c r="D774" s="3">
        <v>2</v>
      </c>
      <c r="E774" s="4">
        <v>1200</v>
      </c>
      <c r="F774" s="5" t="s">
        <v>24</v>
      </c>
      <c r="G774" s="5" t="s">
        <v>413</v>
      </c>
      <c r="H774" s="1">
        <f t="shared" si="25"/>
        <v>2400</v>
      </c>
    </row>
    <row r="775" spans="1:8" x14ac:dyDescent="0.3">
      <c r="A775" s="2" t="str">
        <f t="shared" si="24"/>
        <v>Jan-2024</v>
      </c>
      <c r="B775" s="2">
        <v>45303.44429619213</v>
      </c>
      <c r="C775" s="5" t="s">
        <v>26</v>
      </c>
      <c r="D775" s="3">
        <v>6</v>
      </c>
      <c r="E775" s="4">
        <v>3500</v>
      </c>
      <c r="F775" s="5" t="s">
        <v>24</v>
      </c>
      <c r="G775" s="5" t="s">
        <v>414</v>
      </c>
      <c r="H775" s="1">
        <f t="shared" si="25"/>
        <v>21000</v>
      </c>
    </row>
    <row r="776" spans="1:8" x14ac:dyDescent="0.3">
      <c r="A776" s="2" t="str">
        <f t="shared" si="24"/>
        <v>Jan-2024</v>
      </c>
      <c r="B776" s="2">
        <v>45303.931287523148</v>
      </c>
      <c r="C776" s="5" t="s">
        <v>36</v>
      </c>
      <c r="D776" s="3">
        <v>4</v>
      </c>
      <c r="E776" s="4">
        <v>150</v>
      </c>
      <c r="F776" s="5" t="s">
        <v>13</v>
      </c>
      <c r="G776" s="5" t="s">
        <v>312</v>
      </c>
      <c r="H776" s="1">
        <f t="shared" si="25"/>
        <v>600</v>
      </c>
    </row>
    <row r="777" spans="1:8" x14ac:dyDescent="0.3">
      <c r="A777" s="2" t="str">
        <f t="shared" si="24"/>
        <v>Jan-2024</v>
      </c>
      <c r="B777" s="2">
        <v>45304.418278854166</v>
      </c>
      <c r="C777" s="5" t="s">
        <v>17</v>
      </c>
      <c r="D777" s="3">
        <v>5</v>
      </c>
      <c r="E777" s="4">
        <v>700</v>
      </c>
      <c r="F777" s="5" t="s">
        <v>24</v>
      </c>
      <c r="G777" s="5" t="s">
        <v>415</v>
      </c>
      <c r="H777" s="1">
        <f t="shared" si="25"/>
        <v>3500</v>
      </c>
    </row>
    <row r="778" spans="1:8" x14ac:dyDescent="0.3">
      <c r="A778" s="2" t="str">
        <f t="shared" si="24"/>
        <v>Jan-2024</v>
      </c>
      <c r="B778" s="2">
        <v>45304.905270185183</v>
      </c>
      <c r="C778" s="5" t="s">
        <v>36</v>
      </c>
      <c r="D778" s="3">
        <v>5</v>
      </c>
      <c r="E778" s="4">
        <v>700</v>
      </c>
      <c r="F778" s="5" t="s">
        <v>13</v>
      </c>
      <c r="G778" s="5" t="s">
        <v>213</v>
      </c>
      <c r="H778" s="1">
        <f t="shared" si="25"/>
        <v>3500</v>
      </c>
    </row>
    <row r="779" spans="1:8" x14ac:dyDescent="0.3">
      <c r="A779" s="2" t="str">
        <f t="shared" si="24"/>
        <v>Jan-2024</v>
      </c>
      <c r="B779" s="2">
        <v>45305.392261504632</v>
      </c>
      <c r="C779" s="5" t="s">
        <v>12</v>
      </c>
      <c r="D779" s="3">
        <v>2</v>
      </c>
      <c r="E779" s="4">
        <v>450</v>
      </c>
      <c r="F779" s="5" t="s">
        <v>7</v>
      </c>
      <c r="G779" s="5" t="s">
        <v>416</v>
      </c>
      <c r="H779" s="1">
        <f t="shared" si="25"/>
        <v>900</v>
      </c>
    </row>
    <row r="780" spans="1:8" x14ac:dyDescent="0.3">
      <c r="A780" s="2" t="str">
        <f t="shared" si="24"/>
        <v>Jan-2024</v>
      </c>
      <c r="B780" s="2">
        <v>45305.87925283565</v>
      </c>
      <c r="C780" s="5" t="s">
        <v>9</v>
      </c>
      <c r="D780" s="3">
        <v>1</v>
      </c>
      <c r="E780" s="4">
        <v>1200</v>
      </c>
      <c r="F780" s="5" t="s">
        <v>7</v>
      </c>
      <c r="G780" s="5" t="s">
        <v>237</v>
      </c>
      <c r="H780" s="1">
        <f t="shared" si="25"/>
        <v>1200</v>
      </c>
    </row>
    <row r="781" spans="1:8" x14ac:dyDescent="0.3">
      <c r="A781" s="2" t="str">
        <f t="shared" si="24"/>
        <v>Jan-2024</v>
      </c>
      <c r="B781" s="2">
        <v>45306.366244166667</v>
      </c>
      <c r="C781" s="5" t="s">
        <v>17</v>
      </c>
      <c r="D781" s="3">
        <v>4</v>
      </c>
      <c r="E781" s="4">
        <v>1200</v>
      </c>
      <c r="F781" s="5" t="s">
        <v>13</v>
      </c>
      <c r="G781" s="5" t="s">
        <v>74</v>
      </c>
      <c r="H781" s="1">
        <f t="shared" si="25"/>
        <v>4800</v>
      </c>
    </row>
    <row r="782" spans="1:8" x14ac:dyDescent="0.3">
      <c r="A782" s="2" t="str">
        <f t="shared" si="24"/>
        <v>Jan-2024</v>
      </c>
      <c r="B782" s="2">
        <v>45306.853235486109</v>
      </c>
      <c r="C782" s="5" t="s">
        <v>36</v>
      </c>
      <c r="D782" s="3">
        <v>5</v>
      </c>
      <c r="E782" s="4">
        <v>1200</v>
      </c>
      <c r="F782" s="5" t="s">
        <v>10</v>
      </c>
      <c r="G782" s="5" t="s">
        <v>236</v>
      </c>
      <c r="H782" s="1">
        <f t="shared" si="25"/>
        <v>6000</v>
      </c>
    </row>
    <row r="783" spans="1:8" x14ac:dyDescent="0.3">
      <c r="A783" s="2" t="str">
        <f t="shared" si="24"/>
        <v>Jan-2024</v>
      </c>
      <c r="B783" s="2">
        <v>45307.340226817127</v>
      </c>
      <c r="C783" s="5" t="s">
        <v>26</v>
      </c>
      <c r="D783" s="3">
        <v>2</v>
      </c>
      <c r="E783" s="4">
        <v>3500</v>
      </c>
      <c r="F783" s="5" t="s">
        <v>24</v>
      </c>
      <c r="G783" s="5" t="s">
        <v>235</v>
      </c>
      <c r="H783" s="1">
        <f t="shared" si="25"/>
        <v>7000</v>
      </c>
    </row>
    <row r="784" spans="1:8" x14ac:dyDescent="0.3">
      <c r="A784" s="2" t="str">
        <f t="shared" si="24"/>
        <v>Jan-2024</v>
      </c>
      <c r="B784" s="2">
        <v>45307.827218148152</v>
      </c>
      <c r="C784" s="5" t="s">
        <v>12</v>
      </c>
      <c r="D784" s="3">
        <v>5</v>
      </c>
      <c r="E784" s="4">
        <v>450</v>
      </c>
      <c r="F784" s="5" t="s">
        <v>24</v>
      </c>
      <c r="G784" s="5" t="s">
        <v>149</v>
      </c>
      <c r="H784" s="1">
        <f t="shared" si="25"/>
        <v>2250</v>
      </c>
    </row>
    <row r="785" spans="1:8" x14ac:dyDescent="0.3">
      <c r="A785" s="2" t="str">
        <f t="shared" si="24"/>
        <v>Jan-2024</v>
      </c>
      <c r="B785" s="2">
        <v>45308.314209467593</v>
      </c>
      <c r="C785" s="5" t="s">
        <v>12</v>
      </c>
      <c r="D785" s="3">
        <v>4</v>
      </c>
      <c r="E785" s="4">
        <v>1200</v>
      </c>
      <c r="F785" s="5" t="s">
        <v>24</v>
      </c>
      <c r="G785" s="5" t="s">
        <v>288</v>
      </c>
      <c r="H785" s="1">
        <f t="shared" si="25"/>
        <v>4800</v>
      </c>
    </row>
    <row r="786" spans="1:8" x14ac:dyDescent="0.3">
      <c r="A786" s="2" t="str">
        <f t="shared" si="24"/>
        <v>Jan-2024</v>
      </c>
      <c r="B786" s="2">
        <v>45308.801200798611</v>
      </c>
      <c r="C786" s="5" t="s">
        <v>36</v>
      </c>
      <c r="D786" s="3">
        <v>4</v>
      </c>
      <c r="E786" s="4">
        <v>3500</v>
      </c>
      <c r="F786" s="5" t="s">
        <v>13</v>
      </c>
      <c r="G786" s="5" t="s">
        <v>234</v>
      </c>
      <c r="H786" s="1">
        <f t="shared" si="25"/>
        <v>14000</v>
      </c>
    </row>
    <row r="787" spans="1:8" x14ac:dyDescent="0.3">
      <c r="A787" s="2" t="str">
        <f t="shared" si="24"/>
        <v>Jan-2024</v>
      </c>
      <c r="B787" s="2">
        <v>45309.288192129628</v>
      </c>
      <c r="C787" s="5" t="s">
        <v>9</v>
      </c>
      <c r="D787" s="3">
        <v>3</v>
      </c>
      <c r="E787" s="4">
        <v>700</v>
      </c>
      <c r="F787" s="5" t="s">
        <v>7</v>
      </c>
      <c r="G787" s="5" t="s">
        <v>417</v>
      </c>
      <c r="H787" s="1">
        <f t="shared" si="25"/>
        <v>2100</v>
      </c>
    </row>
    <row r="788" spans="1:8" x14ac:dyDescent="0.3">
      <c r="A788" s="2" t="str">
        <f t="shared" si="24"/>
        <v>Jan-2024</v>
      </c>
      <c r="B788" s="2">
        <v>45309.775183460646</v>
      </c>
      <c r="C788" s="5" t="s">
        <v>36</v>
      </c>
      <c r="D788" s="3">
        <v>6</v>
      </c>
      <c r="E788" s="4">
        <v>150</v>
      </c>
      <c r="F788" s="5" t="s">
        <v>24</v>
      </c>
      <c r="G788" s="5" t="s">
        <v>266</v>
      </c>
      <c r="H788" s="1">
        <f t="shared" si="25"/>
        <v>900</v>
      </c>
    </row>
    <row r="789" spans="1:8" x14ac:dyDescent="0.3">
      <c r="A789" s="2" t="str">
        <f t="shared" si="24"/>
        <v>Jan-2024</v>
      </c>
      <c r="B789" s="2">
        <v>45310.262174780095</v>
      </c>
      <c r="C789" s="5" t="s">
        <v>17</v>
      </c>
      <c r="D789" s="3">
        <v>6</v>
      </c>
      <c r="E789" s="4">
        <v>3500</v>
      </c>
      <c r="F789" s="5" t="s">
        <v>7</v>
      </c>
      <c r="G789" s="5" t="s">
        <v>365</v>
      </c>
      <c r="H789" s="1">
        <f t="shared" si="25"/>
        <v>21000</v>
      </c>
    </row>
    <row r="790" spans="1:8" x14ac:dyDescent="0.3">
      <c r="A790" s="2" t="str">
        <f t="shared" si="24"/>
        <v>Jan-2024</v>
      </c>
      <c r="B790" s="2">
        <v>45310.749166111113</v>
      </c>
      <c r="C790" s="5" t="s">
        <v>36</v>
      </c>
      <c r="D790" s="3">
        <v>2</v>
      </c>
      <c r="E790" s="4">
        <v>700</v>
      </c>
      <c r="F790" s="5" t="s">
        <v>24</v>
      </c>
      <c r="G790" s="5" t="s">
        <v>177</v>
      </c>
      <c r="H790" s="1">
        <f t="shared" si="25"/>
        <v>1400</v>
      </c>
    </row>
    <row r="791" spans="1:8" x14ac:dyDescent="0.3">
      <c r="A791" s="2" t="str">
        <f t="shared" si="24"/>
        <v>Jan-2024</v>
      </c>
      <c r="B791" s="2">
        <v>45311.23615744213</v>
      </c>
      <c r="C791" s="5" t="s">
        <v>12</v>
      </c>
      <c r="D791" s="3">
        <v>4</v>
      </c>
      <c r="E791" s="4">
        <v>700</v>
      </c>
      <c r="F791" s="5" t="s">
        <v>24</v>
      </c>
      <c r="G791" s="5" t="s">
        <v>309</v>
      </c>
      <c r="H791" s="1">
        <f t="shared" si="25"/>
        <v>2800</v>
      </c>
    </row>
    <row r="792" spans="1:8" x14ac:dyDescent="0.3">
      <c r="A792" s="2" t="str">
        <f t="shared" si="24"/>
        <v>Jan-2024</v>
      </c>
      <c r="B792" s="2">
        <v>45311.723148761572</v>
      </c>
      <c r="C792" s="5" t="s">
        <v>36</v>
      </c>
      <c r="D792" s="3">
        <v>3</v>
      </c>
      <c r="E792" s="4">
        <v>150</v>
      </c>
      <c r="F792" s="5" t="s">
        <v>13</v>
      </c>
      <c r="G792" s="5" t="s">
        <v>310</v>
      </c>
      <c r="H792" s="1">
        <f t="shared" si="25"/>
        <v>450</v>
      </c>
    </row>
    <row r="793" spans="1:8" x14ac:dyDescent="0.3">
      <c r="A793" s="2" t="str">
        <f t="shared" si="24"/>
        <v>Jan-2024</v>
      </c>
      <c r="B793" s="2">
        <v>45312.210140092589</v>
      </c>
      <c r="C793" s="5" t="s">
        <v>9</v>
      </c>
      <c r="D793" s="3">
        <v>3</v>
      </c>
      <c r="E793" s="4">
        <v>700</v>
      </c>
      <c r="F793" s="5" t="s">
        <v>10</v>
      </c>
      <c r="G793" s="5" t="s">
        <v>404</v>
      </c>
      <c r="H793" s="1">
        <f t="shared" si="25"/>
        <v>2100</v>
      </c>
    </row>
    <row r="794" spans="1:8" x14ac:dyDescent="0.3">
      <c r="A794" s="2" t="str">
        <f t="shared" si="24"/>
        <v>Jan-2024</v>
      </c>
      <c r="B794" s="2">
        <v>45312.697131423614</v>
      </c>
      <c r="C794" s="5" t="s">
        <v>26</v>
      </c>
      <c r="D794" s="3">
        <v>5</v>
      </c>
      <c r="E794" s="4">
        <v>450</v>
      </c>
      <c r="F794" s="5" t="s">
        <v>13</v>
      </c>
      <c r="G794" s="5" t="s">
        <v>154</v>
      </c>
      <c r="H794" s="1">
        <f t="shared" si="25"/>
        <v>2250</v>
      </c>
    </row>
    <row r="795" spans="1:8" x14ac:dyDescent="0.3">
      <c r="A795" s="2" t="str">
        <f t="shared" si="24"/>
        <v>Jan-2024</v>
      </c>
      <c r="B795" s="2">
        <v>45313.184122743056</v>
      </c>
      <c r="C795" s="5" t="s">
        <v>6</v>
      </c>
      <c r="D795" s="3">
        <v>5</v>
      </c>
      <c r="E795" s="4">
        <v>150</v>
      </c>
      <c r="F795" s="5" t="s">
        <v>24</v>
      </c>
      <c r="G795" s="5" t="s">
        <v>360</v>
      </c>
      <c r="H795" s="1">
        <f t="shared" si="25"/>
        <v>750</v>
      </c>
    </row>
    <row r="796" spans="1:8" x14ac:dyDescent="0.3">
      <c r="A796" s="2" t="str">
        <f t="shared" si="24"/>
        <v>Jan-2024</v>
      </c>
      <c r="B796" s="2">
        <v>45313.671114074074</v>
      </c>
      <c r="C796" s="5" t="s">
        <v>36</v>
      </c>
      <c r="D796" s="3">
        <v>3</v>
      </c>
      <c r="E796" s="4">
        <v>700</v>
      </c>
      <c r="F796" s="5" t="s">
        <v>24</v>
      </c>
      <c r="G796" s="5" t="s">
        <v>269</v>
      </c>
      <c r="H796" s="1">
        <f t="shared" si="25"/>
        <v>2100</v>
      </c>
    </row>
    <row r="797" spans="1:8" x14ac:dyDescent="0.3">
      <c r="A797" s="2" t="str">
        <f t="shared" si="24"/>
        <v>Jan-2024</v>
      </c>
      <c r="B797" s="2">
        <v>45314.158105405091</v>
      </c>
      <c r="C797" s="5" t="s">
        <v>9</v>
      </c>
      <c r="D797" s="3">
        <v>5</v>
      </c>
      <c r="E797" s="4">
        <v>1800</v>
      </c>
      <c r="F797" s="5" t="s">
        <v>10</v>
      </c>
      <c r="G797" s="5" t="s">
        <v>206</v>
      </c>
      <c r="H797" s="1">
        <f t="shared" si="25"/>
        <v>9000</v>
      </c>
    </row>
    <row r="798" spans="1:8" x14ac:dyDescent="0.3">
      <c r="A798" s="2" t="str">
        <f t="shared" si="24"/>
        <v>Jan-2024</v>
      </c>
      <c r="B798" s="2">
        <v>45314.645096736109</v>
      </c>
      <c r="C798" s="5" t="s">
        <v>9</v>
      </c>
      <c r="D798" s="3">
        <v>4</v>
      </c>
      <c r="E798" s="4">
        <v>3500</v>
      </c>
      <c r="F798" s="5" t="s">
        <v>7</v>
      </c>
      <c r="G798" s="5" t="s">
        <v>275</v>
      </c>
      <c r="H798" s="1">
        <f t="shared" si="25"/>
        <v>14000</v>
      </c>
    </row>
    <row r="799" spans="1:8" x14ac:dyDescent="0.3">
      <c r="A799" s="2" t="str">
        <f t="shared" si="24"/>
        <v>Jan-2024</v>
      </c>
      <c r="B799" s="2">
        <v>45315.132088055558</v>
      </c>
      <c r="C799" s="5" t="s">
        <v>26</v>
      </c>
      <c r="D799" s="3">
        <v>1</v>
      </c>
      <c r="E799" s="4">
        <v>700</v>
      </c>
      <c r="F799" s="5" t="s">
        <v>7</v>
      </c>
      <c r="G799" s="5" t="s">
        <v>418</v>
      </c>
      <c r="H799" s="1">
        <f t="shared" si="25"/>
        <v>700</v>
      </c>
    </row>
    <row r="800" spans="1:8" x14ac:dyDescent="0.3">
      <c r="A800" s="2" t="str">
        <f t="shared" si="24"/>
        <v>Jan-2024</v>
      </c>
      <c r="B800" s="2">
        <v>45315.619079386575</v>
      </c>
      <c r="C800" s="5" t="s">
        <v>12</v>
      </c>
      <c r="D800" s="3">
        <v>4</v>
      </c>
      <c r="E800" s="4">
        <v>450</v>
      </c>
      <c r="F800" s="5" t="s">
        <v>24</v>
      </c>
      <c r="G800" s="5" t="s">
        <v>190</v>
      </c>
      <c r="H800" s="1">
        <f t="shared" si="25"/>
        <v>1800</v>
      </c>
    </row>
    <row r="801" spans="1:8" x14ac:dyDescent="0.3">
      <c r="A801" s="2" t="str">
        <f t="shared" si="24"/>
        <v>Jan-2024</v>
      </c>
      <c r="B801" s="2">
        <v>45316.106070717593</v>
      </c>
      <c r="C801" s="5" t="s">
        <v>9</v>
      </c>
      <c r="D801" s="3">
        <v>3</v>
      </c>
      <c r="E801" s="4">
        <v>1200</v>
      </c>
      <c r="F801" s="5" t="s">
        <v>7</v>
      </c>
      <c r="G801" s="5" t="s">
        <v>233</v>
      </c>
      <c r="H801" s="1">
        <f t="shared" si="25"/>
        <v>3600</v>
      </c>
    </row>
    <row r="802" spans="1:8" x14ac:dyDescent="0.3">
      <c r="A802" s="2" t="str">
        <f t="shared" si="24"/>
        <v>Jan-2024</v>
      </c>
      <c r="B802" s="2">
        <v>45316.593062037035</v>
      </c>
      <c r="C802" s="5" t="s">
        <v>9</v>
      </c>
      <c r="D802" s="3">
        <v>3</v>
      </c>
      <c r="E802" s="4">
        <v>700</v>
      </c>
      <c r="F802" s="5" t="s">
        <v>24</v>
      </c>
      <c r="G802" s="5" t="s">
        <v>354</v>
      </c>
      <c r="H802" s="1">
        <f t="shared" si="25"/>
        <v>2100</v>
      </c>
    </row>
    <row r="803" spans="1:8" x14ac:dyDescent="0.3">
      <c r="A803" s="2" t="str">
        <f t="shared" si="24"/>
        <v>Jan-2024</v>
      </c>
      <c r="B803" s="2">
        <v>45317.080053368052</v>
      </c>
      <c r="C803" s="5" t="s">
        <v>9</v>
      </c>
      <c r="D803" s="3">
        <v>4</v>
      </c>
      <c r="E803" s="4">
        <v>1200</v>
      </c>
      <c r="F803" s="5" t="s">
        <v>10</v>
      </c>
      <c r="G803" s="5" t="s">
        <v>118</v>
      </c>
      <c r="H803" s="1">
        <f t="shared" si="25"/>
        <v>4800</v>
      </c>
    </row>
    <row r="804" spans="1:8" x14ac:dyDescent="0.3">
      <c r="A804" s="2" t="str">
        <f t="shared" si="24"/>
        <v>Jan-2024</v>
      </c>
      <c r="B804" s="2">
        <v>45317.567044699077</v>
      </c>
      <c r="C804" s="5" t="s">
        <v>9</v>
      </c>
      <c r="D804" s="3">
        <v>5</v>
      </c>
      <c r="E804" s="4">
        <v>1800</v>
      </c>
      <c r="F804" s="5" t="s">
        <v>10</v>
      </c>
      <c r="G804" s="5" t="s">
        <v>101</v>
      </c>
      <c r="H804" s="1">
        <f t="shared" si="25"/>
        <v>9000</v>
      </c>
    </row>
    <row r="805" spans="1:8" x14ac:dyDescent="0.3">
      <c r="A805" s="2" t="str">
        <f t="shared" si="24"/>
        <v>Jan-2024</v>
      </c>
      <c r="B805" s="2">
        <v>45318.054036018519</v>
      </c>
      <c r="C805" s="5" t="s">
        <v>17</v>
      </c>
      <c r="D805" s="3">
        <v>5</v>
      </c>
      <c r="E805" s="4">
        <v>700</v>
      </c>
      <c r="F805" s="5" t="s">
        <v>24</v>
      </c>
      <c r="G805" s="5" t="s">
        <v>63</v>
      </c>
      <c r="H805" s="1">
        <f t="shared" si="25"/>
        <v>3500</v>
      </c>
    </row>
    <row r="806" spans="1:8" x14ac:dyDescent="0.3">
      <c r="A806" s="2" t="str">
        <f t="shared" si="24"/>
        <v>Jan-2024</v>
      </c>
      <c r="B806" s="2">
        <v>45318.541027349536</v>
      </c>
      <c r="C806" s="5" t="s">
        <v>17</v>
      </c>
      <c r="D806" s="3">
        <v>6</v>
      </c>
      <c r="E806" s="4">
        <v>150</v>
      </c>
      <c r="F806" s="5" t="s">
        <v>10</v>
      </c>
      <c r="G806" s="5" t="s">
        <v>121</v>
      </c>
      <c r="H806" s="1">
        <f t="shared" si="25"/>
        <v>900</v>
      </c>
    </row>
    <row r="807" spans="1:8" x14ac:dyDescent="0.3">
      <c r="A807" s="2" t="str">
        <f t="shared" si="24"/>
        <v>Jan-2024</v>
      </c>
      <c r="B807" s="2">
        <v>45319.028018680554</v>
      </c>
      <c r="C807" s="5" t="s">
        <v>12</v>
      </c>
      <c r="D807" s="3">
        <v>3</v>
      </c>
      <c r="E807" s="4">
        <v>1200</v>
      </c>
      <c r="F807" s="5" t="s">
        <v>13</v>
      </c>
      <c r="G807" s="5" t="s">
        <v>394</v>
      </c>
      <c r="H807" s="1">
        <f t="shared" si="25"/>
        <v>3600</v>
      </c>
    </row>
    <row r="808" spans="1:8" x14ac:dyDescent="0.3">
      <c r="A808" s="2" t="str">
        <f t="shared" si="24"/>
        <v>Jan-2024</v>
      </c>
      <c r="B808" s="2">
        <v>45319.515010011572</v>
      </c>
      <c r="C808" s="5" t="s">
        <v>36</v>
      </c>
      <c r="D808" s="3">
        <v>2</v>
      </c>
      <c r="E808" s="4">
        <v>1800</v>
      </c>
      <c r="F808" s="5" t="s">
        <v>13</v>
      </c>
      <c r="G808" s="5" t="s">
        <v>419</v>
      </c>
      <c r="H808" s="1">
        <f t="shared" si="25"/>
        <v>3600</v>
      </c>
    </row>
    <row r="809" spans="1:8" x14ac:dyDescent="0.3">
      <c r="A809" s="2" t="str">
        <f t="shared" si="24"/>
        <v>Jan-2024</v>
      </c>
      <c r="B809" s="2">
        <v>45320.00200133102</v>
      </c>
      <c r="C809" s="5" t="s">
        <v>9</v>
      </c>
      <c r="D809" s="3">
        <v>6</v>
      </c>
      <c r="E809" s="4">
        <v>150</v>
      </c>
      <c r="F809" s="5" t="s">
        <v>10</v>
      </c>
      <c r="G809" s="5" t="s">
        <v>420</v>
      </c>
      <c r="H809" s="1">
        <f t="shared" si="25"/>
        <v>900</v>
      </c>
    </row>
    <row r="810" spans="1:8" x14ac:dyDescent="0.3">
      <c r="A810" s="2" t="str">
        <f t="shared" si="24"/>
        <v>Jan-2024</v>
      </c>
      <c r="B810" s="2">
        <v>45320.488992662038</v>
      </c>
      <c r="C810" s="5" t="s">
        <v>26</v>
      </c>
      <c r="D810" s="3">
        <v>5</v>
      </c>
      <c r="E810" s="4">
        <v>150</v>
      </c>
      <c r="F810" s="5" t="s">
        <v>24</v>
      </c>
      <c r="G810" s="5" t="s">
        <v>41</v>
      </c>
      <c r="H810" s="1">
        <f t="shared" si="25"/>
        <v>750</v>
      </c>
    </row>
    <row r="811" spans="1:8" x14ac:dyDescent="0.3">
      <c r="A811" s="2" t="str">
        <f t="shared" si="24"/>
        <v>Jan-2024</v>
      </c>
      <c r="B811" s="2">
        <v>45320.975983993056</v>
      </c>
      <c r="C811" s="5" t="s">
        <v>36</v>
      </c>
      <c r="D811" s="3">
        <v>4</v>
      </c>
      <c r="E811" s="4">
        <v>150</v>
      </c>
      <c r="F811" s="5" t="s">
        <v>24</v>
      </c>
      <c r="G811" s="5" t="s">
        <v>240</v>
      </c>
      <c r="H811" s="1">
        <f t="shared" si="25"/>
        <v>600</v>
      </c>
    </row>
    <row r="812" spans="1:8" x14ac:dyDescent="0.3">
      <c r="A812" s="2" t="str">
        <f t="shared" si="24"/>
        <v>Jan-2024</v>
      </c>
      <c r="B812" s="2">
        <v>45321.462975312497</v>
      </c>
      <c r="C812" s="5" t="s">
        <v>26</v>
      </c>
      <c r="D812" s="3">
        <v>5</v>
      </c>
      <c r="E812" s="4">
        <v>150</v>
      </c>
      <c r="F812" s="5" t="s">
        <v>10</v>
      </c>
      <c r="G812" s="5" t="s">
        <v>267</v>
      </c>
      <c r="H812" s="1">
        <f t="shared" si="25"/>
        <v>750</v>
      </c>
    </row>
    <row r="813" spans="1:8" x14ac:dyDescent="0.3">
      <c r="A813" s="2" t="str">
        <f t="shared" si="24"/>
        <v>Jan-2024</v>
      </c>
      <c r="B813" s="2">
        <v>45321.949966643515</v>
      </c>
      <c r="C813" s="5" t="s">
        <v>36</v>
      </c>
      <c r="D813" s="3">
        <v>4</v>
      </c>
      <c r="E813" s="4">
        <v>700</v>
      </c>
      <c r="F813" s="5" t="s">
        <v>7</v>
      </c>
      <c r="G813" s="5" t="s">
        <v>116</v>
      </c>
      <c r="H813" s="1">
        <f t="shared" si="25"/>
        <v>2800</v>
      </c>
    </row>
    <row r="814" spans="1:8" x14ac:dyDescent="0.3">
      <c r="A814" s="2" t="str">
        <f t="shared" si="24"/>
        <v>Jan-2024</v>
      </c>
      <c r="B814" s="2">
        <v>45322.43695797454</v>
      </c>
      <c r="C814" s="5" t="s">
        <v>12</v>
      </c>
      <c r="D814" s="3">
        <v>6</v>
      </c>
      <c r="E814" s="4">
        <v>3500</v>
      </c>
      <c r="F814" s="5" t="s">
        <v>13</v>
      </c>
      <c r="G814" s="5" t="s">
        <v>92</v>
      </c>
      <c r="H814" s="1">
        <f t="shared" si="25"/>
        <v>21000</v>
      </c>
    </row>
    <row r="815" spans="1:8" x14ac:dyDescent="0.3">
      <c r="A815" s="2" t="str">
        <f t="shared" si="24"/>
        <v>Jan-2024</v>
      </c>
      <c r="B815" s="2">
        <v>45322.923949293981</v>
      </c>
      <c r="C815" s="5" t="s">
        <v>9</v>
      </c>
      <c r="D815" s="3">
        <v>3</v>
      </c>
      <c r="E815" s="4">
        <v>700</v>
      </c>
      <c r="F815" s="5" t="s">
        <v>7</v>
      </c>
      <c r="G815" s="5" t="s">
        <v>421</v>
      </c>
      <c r="H815" s="1">
        <f t="shared" si="25"/>
        <v>2100</v>
      </c>
    </row>
    <row r="816" spans="1:8" x14ac:dyDescent="0.3">
      <c r="A816" s="2" t="str">
        <f t="shared" si="24"/>
        <v>Feb-2024</v>
      </c>
      <c r="B816" s="2">
        <v>45323.410940624999</v>
      </c>
      <c r="C816" s="5" t="s">
        <v>9</v>
      </c>
      <c r="D816" s="3">
        <v>5</v>
      </c>
      <c r="E816" s="4">
        <v>700</v>
      </c>
      <c r="F816" s="5" t="s">
        <v>24</v>
      </c>
      <c r="G816" s="5" t="s">
        <v>327</v>
      </c>
      <c r="H816" s="1">
        <f t="shared" si="25"/>
        <v>3500</v>
      </c>
    </row>
    <row r="817" spans="1:8" x14ac:dyDescent="0.3">
      <c r="A817" s="2" t="str">
        <f t="shared" si="24"/>
        <v>Feb-2024</v>
      </c>
      <c r="B817" s="2">
        <v>45323.897931956017</v>
      </c>
      <c r="C817" s="5" t="s">
        <v>6</v>
      </c>
      <c r="D817" s="3">
        <v>4</v>
      </c>
      <c r="E817" s="4">
        <v>1800</v>
      </c>
      <c r="F817" s="5" t="s">
        <v>24</v>
      </c>
      <c r="G817" s="5" t="s">
        <v>214</v>
      </c>
      <c r="H817" s="1">
        <f t="shared" si="25"/>
        <v>7200</v>
      </c>
    </row>
    <row r="818" spans="1:8" x14ac:dyDescent="0.3">
      <c r="A818" s="2" t="str">
        <f t="shared" si="24"/>
        <v>Feb-2024</v>
      </c>
      <c r="B818" s="2">
        <v>45324.384923287034</v>
      </c>
      <c r="C818" s="5" t="s">
        <v>26</v>
      </c>
      <c r="D818" s="3">
        <v>3</v>
      </c>
      <c r="E818" s="4">
        <v>1800</v>
      </c>
      <c r="F818" s="5" t="s">
        <v>7</v>
      </c>
      <c r="G818" s="5" t="s">
        <v>366</v>
      </c>
      <c r="H818" s="1">
        <f t="shared" si="25"/>
        <v>5400</v>
      </c>
    </row>
    <row r="819" spans="1:8" x14ac:dyDescent="0.3">
      <c r="A819" s="2" t="str">
        <f t="shared" si="24"/>
        <v>Feb-2024</v>
      </c>
      <c r="B819" s="2">
        <v>45324.871914606483</v>
      </c>
      <c r="C819" s="5" t="s">
        <v>36</v>
      </c>
      <c r="D819" s="3">
        <v>2</v>
      </c>
      <c r="E819" s="4">
        <v>3500</v>
      </c>
      <c r="F819" s="5" t="s">
        <v>10</v>
      </c>
      <c r="G819" s="5" t="s">
        <v>422</v>
      </c>
      <c r="H819" s="1">
        <f t="shared" si="25"/>
        <v>7000</v>
      </c>
    </row>
    <row r="820" spans="1:8" x14ac:dyDescent="0.3">
      <c r="A820" s="2" t="str">
        <f t="shared" si="24"/>
        <v>Feb-2024</v>
      </c>
      <c r="B820" s="2">
        <v>45325.358905937501</v>
      </c>
      <c r="C820" s="5" t="s">
        <v>36</v>
      </c>
      <c r="D820" s="3">
        <v>4</v>
      </c>
      <c r="E820" s="4">
        <v>1800</v>
      </c>
      <c r="F820" s="5" t="s">
        <v>7</v>
      </c>
      <c r="G820" s="5" t="s">
        <v>309</v>
      </c>
      <c r="H820" s="1">
        <f t="shared" si="25"/>
        <v>7200</v>
      </c>
    </row>
    <row r="821" spans="1:8" x14ac:dyDescent="0.3">
      <c r="A821" s="2" t="str">
        <f t="shared" si="24"/>
        <v>Feb-2024</v>
      </c>
      <c r="B821" s="2">
        <v>45325.845897268518</v>
      </c>
      <c r="C821" s="5" t="s">
        <v>17</v>
      </c>
      <c r="D821" s="3">
        <v>6</v>
      </c>
      <c r="E821" s="4">
        <v>450</v>
      </c>
      <c r="F821" s="5" t="s">
        <v>7</v>
      </c>
      <c r="G821" s="5" t="s">
        <v>212</v>
      </c>
      <c r="H821" s="1">
        <f t="shared" si="25"/>
        <v>2700</v>
      </c>
    </row>
    <row r="822" spans="1:8" x14ac:dyDescent="0.3">
      <c r="A822" s="2" t="str">
        <f t="shared" si="24"/>
        <v>Feb-2024</v>
      </c>
      <c r="B822" s="2">
        <v>45326.33288858796</v>
      </c>
      <c r="C822" s="5" t="s">
        <v>6</v>
      </c>
      <c r="D822" s="3">
        <v>2</v>
      </c>
      <c r="E822" s="4">
        <v>3500</v>
      </c>
      <c r="F822" s="5" t="s">
        <v>13</v>
      </c>
      <c r="G822" s="5" t="s">
        <v>392</v>
      </c>
      <c r="H822" s="1">
        <f t="shared" si="25"/>
        <v>7000</v>
      </c>
    </row>
    <row r="823" spans="1:8" x14ac:dyDescent="0.3">
      <c r="A823" s="2" t="str">
        <f t="shared" si="24"/>
        <v>Feb-2024</v>
      </c>
      <c r="B823" s="2">
        <v>45326.819879918985</v>
      </c>
      <c r="C823" s="5" t="s">
        <v>17</v>
      </c>
      <c r="D823" s="3">
        <v>2</v>
      </c>
      <c r="E823" s="4">
        <v>1800</v>
      </c>
      <c r="F823" s="5" t="s">
        <v>13</v>
      </c>
      <c r="G823" s="5" t="s">
        <v>41</v>
      </c>
      <c r="H823" s="1">
        <f t="shared" si="25"/>
        <v>3600</v>
      </c>
    </row>
    <row r="824" spans="1:8" x14ac:dyDescent="0.3">
      <c r="A824" s="2" t="str">
        <f t="shared" si="24"/>
        <v>Feb-2024</v>
      </c>
      <c r="B824" s="2">
        <v>45327.306871250003</v>
      </c>
      <c r="C824" s="5" t="s">
        <v>17</v>
      </c>
      <c r="D824" s="3">
        <v>1</v>
      </c>
      <c r="E824" s="4">
        <v>3500</v>
      </c>
      <c r="F824" s="5" t="s">
        <v>7</v>
      </c>
      <c r="G824" s="5" t="s">
        <v>187</v>
      </c>
      <c r="H824" s="1">
        <f t="shared" si="25"/>
        <v>3500</v>
      </c>
    </row>
    <row r="825" spans="1:8" x14ac:dyDescent="0.3">
      <c r="A825" s="2" t="str">
        <f t="shared" si="24"/>
        <v>Feb-2024</v>
      </c>
      <c r="B825" s="2">
        <v>45327.793862569444</v>
      </c>
      <c r="C825" s="5" t="s">
        <v>17</v>
      </c>
      <c r="D825" s="3">
        <v>5</v>
      </c>
      <c r="E825" s="4">
        <v>700</v>
      </c>
      <c r="F825" s="5" t="s">
        <v>7</v>
      </c>
      <c r="G825" s="5" t="s">
        <v>180</v>
      </c>
      <c r="H825" s="1">
        <f t="shared" si="25"/>
        <v>3500</v>
      </c>
    </row>
    <row r="826" spans="1:8" x14ac:dyDescent="0.3">
      <c r="A826" s="2" t="str">
        <f t="shared" si="24"/>
        <v>Feb-2024</v>
      </c>
      <c r="B826" s="2">
        <v>45328.280853900462</v>
      </c>
      <c r="C826" s="5" t="s">
        <v>26</v>
      </c>
      <c r="D826" s="3">
        <v>4</v>
      </c>
      <c r="E826" s="4">
        <v>700</v>
      </c>
      <c r="F826" s="5" t="s">
        <v>24</v>
      </c>
      <c r="G826" s="5" t="s">
        <v>81</v>
      </c>
      <c r="H826" s="1">
        <f t="shared" si="25"/>
        <v>2800</v>
      </c>
    </row>
    <row r="827" spans="1:8" x14ac:dyDescent="0.3">
      <c r="A827" s="2" t="str">
        <f t="shared" si="24"/>
        <v>Feb-2024</v>
      </c>
      <c r="B827" s="2">
        <v>45328.767845231479</v>
      </c>
      <c r="C827" s="5" t="s">
        <v>26</v>
      </c>
      <c r="D827" s="3">
        <v>2</v>
      </c>
      <c r="E827" s="4">
        <v>3500</v>
      </c>
      <c r="F827" s="5" t="s">
        <v>13</v>
      </c>
      <c r="G827" s="5" t="s">
        <v>45</v>
      </c>
      <c r="H827" s="1">
        <f t="shared" si="25"/>
        <v>7000</v>
      </c>
    </row>
    <row r="828" spans="1:8" x14ac:dyDescent="0.3">
      <c r="A828" s="2" t="str">
        <f t="shared" si="24"/>
        <v>Feb-2024</v>
      </c>
      <c r="B828" s="2">
        <v>45329.254836562497</v>
      </c>
      <c r="C828" s="5" t="s">
        <v>12</v>
      </c>
      <c r="D828" s="3">
        <v>1</v>
      </c>
      <c r="E828" s="4">
        <v>450</v>
      </c>
      <c r="F828" s="5" t="s">
        <v>13</v>
      </c>
      <c r="G828" s="5" t="s">
        <v>228</v>
      </c>
      <c r="H828" s="1">
        <f t="shared" si="25"/>
        <v>450</v>
      </c>
    </row>
    <row r="829" spans="1:8" x14ac:dyDescent="0.3">
      <c r="A829" s="2" t="str">
        <f t="shared" si="24"/>
        <v>Feb-2024</v>
      </c>
      <c r="B829" s="2">
        <v>45329.741827881946</v>
      </c>
      <c r="C829" s="5" t="s">
        <v>12</v>
      </c>
      <c r="D829" s="3">
        <v>6</v>
      </c>
      <c r="E829" s="4">
        <v>450</v>
      </c>
      <c r="F829" s="5" t="s">
        <v>24</v>
      </c>
      <c r="G829" s="5" t="s">
        <v>395</v>
      </c>
      <c r="H829" s="1">
        <f t="shared" si="25"/>
        <v>2700</v>
      </c>
    </row>
    <row r="830" spans="1:8" x14ac:dyDescent="0.3">
      <c r="A830" s="2" t="str">
        <f t="shared" si="24"/>
        <v>Feb-2024</v>
      </c>
      <c r="B830" s="2">
        <v>45330.228819212964</v>
      </c>
      <c r="C830" s="5" t="s">
        <v>17</v>
      </c>
      <c r="D830" s="3">
        <v>3</v>
      </c>
      <c r="E830" s="4">
        <v>3500</v>
      </c>
      <c r="F830" s="5" t="s">
        <v>10</v>
      </c>
      <c r="G830" s="5" t="s">
        <v>423</v>
      </c>
      <c r="H830" s="1">
        <f t="shared" si="25"/>
        <v>10500</v>
      </c>
    </row>
    <row r="831" spans="1:8" x14ac:dyDescent="0.3">
      <c r="A831" s="2" t="str">
        <f t="shared" si="24"/>
        <v>Feb-2024</v>
      </c>
      <c r="B831" s="2">
        <v>45330.715810543981</v>
      </c>
      <c r="C831" s="5" t="s">
        <v>6</v>
      </c>
      <c r="D831" s="3">
        <v>4</v>
      </c>
      <c r="E831" s="4">
        <v>1800</v>
      </c>
      <c r="F831" s="5" t="s">
        <v>13</v>
      </c>
      <c r="G831" s="5" t="s">
        <v>232</v>
      </c>
      <c r="H831" s="1">
        <f t="shared" si="25"/>
        <v>7200</v>
      </c>
    </row>
    <row r="832" spans="1:8" x14ac:dyDescent="0.3">
      <c r="A832" s="2" t="str">
        <f t="shared" si="24"/>
        <v>Feb-2024</v>
      </c>
      <c r="B832" s="2">
        <v>45331.202801863423</v>
      </c>
      <c r="C832" s="5" t="s">
        <v>36</v>
      </c>
      <c r="D832" s="3">
        <v>2</v>
      </c>
      <c r="E832" s="4">
        <v>1200</v>
      </c>
      <c r="F832" s="5" t="s">
        <v>13</v>
      </c>
      <c r="G832" s="5" t="s">
        <v>410</v>
      </c>
      <c r="H832" s="1">
        <f t="shared" si="25"/>
        <v>2400</v>
      </c>
    </row>
    <row r="833" spans="1:8" x14ac:dyDescent="0.3">
      <c r="A833" s="2" t="str">
        <f t="shared" si="24"/>
        <v>Feb-2024</v>
      </c>
      <c r="B833" s="2">
        <v>45331.689793194448</v>
      </c>
      <c r="C833" s="5" t="s">
        <v>26</v>
      </c>
      <c r="D833" s="3">
        <v>5</v>
      </c>
      <c r="E833" s="4">
        <v>450</v>
      </c>
      <c r="F833" s="5" t="s">
        <v>10</v>
      </c>
      <c r="G833" s="5" t="s">
        <v>72</v>
      </c>
      <c r="H833" s="1">
        <f t="shared" si="25"/>
        <v>2250</v>
      </c>
    </row>
    <row r="834" spans="1:8" x14ac:dyDescent="0.3">
      <c r="A834" s="2" t="str">
        <f t="shared" si="24"/>
        <v>Feb-2024</v>
      </c>
      <c r="B834" s="2">
        <v>45332.176784525465</v>
      </c>
      <c r="C834" s="5" t="s">
        <v>6</v>
      </c>
      <c r="D834" s="3">
        <v>1</v>
      </c>
      <c r="E834" s="4">
        <v>150</v>
      </c>
      <c r="F834" s="5" t="s">
        <v>13</v>
      </c>
      <c r="G834" s="5" t="s">
        <v>282</v>
      </c>
      <c r="H834" s="1">
        <f t="shared" si="25"/>
        <v>150</v>
      </c>
    </row>
    <row r="835" spans="1:8" x14ac:dyDescent="0.3">
      <c r="A835" s="2" t="str">
        <f t="shared" ref="A835:A898" si="26">TEXT(B835, "mmm-yyyy")</f>
        <v>Feb-2024</v>
      </c>
      <c r="B835" s="2">
        <v>45332.663775844907</v>
      </c>
      <c r="C835" s="5" t="s">
        <v>9</v>
      </c>
      <c r="D835" s="3">
        <v>2</v>
      </c>
      <c r="E835" s="4">
        <v>700</v>
      </c>
      <c r="F835" s="5" t="s">
        <v>13</v>
      </c>
      <c r="G835" s="5" t="s">
        <v>424</v>
      </c>
      <c r="H835" s="1">
        <f t="shared" ref="H835:H898" si="27" xml:space="preserve"> D835 * E835</f>
        <v>1400</v>
      </c>
    </row>
    <row r="836" spans="1:8" x14ac:dyDescent="0.3">
      <c r="A836" s="2" t="str">
        <f t="shared" si="26"/>
        <v>Feb-2024</v>
      </c>
      <c r="B836" s="2">
        <v>45333.150767175925</v>
      </c>
      <c r="C836" s="5" t="s">
        <v>26</v>
      </c>
      <c r="D836" s="3">
        <v>5</v>
      </c>
      <c r="E836" s="4">
        <v>3500</v>
      </c>
      <c r="F836" s="5" t="s">
        <v>10</v>
      </c>
      <c r="G836" s="5" t="s">
        <v>195</v>
      </c>
      <c r="H836" s="1">
        <f t="shared" si="27"/>
        <v>17500</v>
      </c>
    </row>
    <row r="837" spans="1:8" x14ac:dyDescent="0.3">
      <c r="A837" s="2" t="str">
        <f t="shared" si="26"/>
        <v>Feb-2024</v>
      </c>
      <c r="B837" s="2">
        <v>45333.637758506942</v>
      </c>
      <c r="C837" s="5" t="s">
        <v>26</v>
      </c>
      <c r="D837" s="3">
        <v>2</v>
      </c>
      <c r="E837" s="4">
        <v>150</v>
      </c>
      <c r="F837" s="5" t="s">
        <v>10</v>
      </c>
      <c r="G837" s="5" t="s">
        <v>162</v>
      </c>
      <c r="H837" s="1">
        <f t="shared" si="27"/>
        <v>300</v>
      </c>
    </row>
    <row r="838" spans="1:8" x14ac:dyDescent="0.3">
      <c r="A838" s="2" t="str">
        <f t="shared" si="26"/>
        <v>Feb-2024</v>
      </c>
      <c r="B838" s="2">
        <v>45334.12474983796</v>
      </c>
      <c r="C838" s="5" t="s">
        <v>12</v>
      </c>
      <c r="D838" s="3">
        <v>4</v>
      </c>
      <c r="E838" s="4">
        <v>3500</v>
      </c>
      <c r="F838" s="5" t="s">
        <v>7</v>
      </c>
      <c r="G838" s="5" t="s">
        <v>72</v>
      </c>
      <c r="H838" s="1">
        <f t="shared" si="27"/>
        <v>14000</v>
      </c>
    </row>
    <row r="839" spans="1:8" x14ac:dyDescent="0.3">
      <c r="A839" s="2" t="str">
        <f t="shared" si="26"/>
        <v>Feb-2024</v>
      </c>
      <c r="B839" s="2">
        <v>45334.611741157409</v>
      </c>
      <c r="C839" s="5" t="s">
        <v>36</v>
      </c>
      <c r="D839" s="3">
        <v>4</v>
      </c>
      <c r="E839" s="4">
        <v>700</v>
      </c>
      <c r="F839" s="5" t="s">
        <v>24</v>
      </c>
      <c r="G839" s="5" t="s">
        <v>264</v>
      </c>
      <c r="H839" s="1">
        <f t="shared" si="27"/>
        <v>2800</v>
      </c>
    </row>
    <row r="840" spans="1:8" x14ac:dyDescent="0.3">
      <c r="A840" s="2" t="str">
        <f t="shared" si="26"/>
        <v>Feb-2024</v>
      </c>
      <c r="B840" s="2">
        <v>45335.098732488426</v>
      </c>
      <c r="C840" s="5" t="s">
        <v>36</v>
      </c>
      <c r="D840" s="3">
        <v>4</v>
      </c>
      <c r="E840" s="4">
        <v>700</v>
      </c>
      <c r="F840" s="5" t="s">
        <v>24</v>
      </c>
      <c r="G840" s="5" t="s">
        <v>425</v>
      </c>
      <c r="H840" s="1">
        <f t="shared" si="27"/>
        <v>2800</v>
      </c>
    </row>
    <row r="841" spans="1:8" x14ac:dyDescent="0.3">
      <c r="A841" s="2" t="str">
        <f t="shared" si="26"/>
        <v>Feb-2024</v>
      </c>
      <c r="B841" s="2">
        <v>45335.585723819444</v>
      </c>
      <c r="C841" s="5" t="s">
        <v>9</v>
      </c>
      <c r="D841" s="3">
        <v>6</v>
      </c>
      <c r="E841" s="4">
        <v>450</v>
      </c>
      <c r="F841" s="5" t="s">
        <v>10</v>
      </c>
      <c r="G841" s="5" t="s">
        <v>426</v>
      </c>
      <c r="H841" s="1">
        <f t="shared" si="27"/>
        <v>2700</v>
      </c>
    </row>
    <row r="842" spans="1:8" x14ac:dyDescent="0.3">
      <c r="A842" s="2" t="str">
        <f t="shared" si="26"/>
        <v>Feb-2024</v>
      </c>
      <c r="B842" s="2">
        <v>45336.072715138886</v>
      </c>
      <c r="C842" s="5" t="s">
        <v>9</v>
      </c>
      <c r="D842" s="3">
        <v>6</v>
      </c>
      <c r="E842" s="4">
        <v>450</v>
      </c>
      <c r="F842" s="5" t="s">
        <v>10</v>
      </c>
      <c r="G842" s="5" t="s">
        <v>65</v>
      </c>
      <c r="H842" s="1">
        <f t="shared" si="27"/>
        <v>2700</v>
      </c>
    </row>
    <row r="843" spans="1:8" x14ac:dyDescent="0.3">
      <c r="A843" s="2" t="str">
        <f t="shared" si="26"/>
        <v>Feb-2024</v>
      </c>
      <c r="B843" s="2">
        <v>45336.55970646991</v>
      </c>
      <c r="C843" s="5" t="s">
        <v>26</v>
      </c>
      <c r="D843" s="3">
        <v>1</v>
      </c>
      <c r="E843" s="4">
        <v>150</v>
      </c>
      <c r="F843" s="5" t="s">
        <v>13</v>
      </c>
      <c r="G843" s="5" t="s">
        <v>100</v>
      </c>
      <c r="H843" s="1">
        <f t="shared" si="27"/>
        <v>150</v>
      </c>
    </row>
    <row r="844" spans="1:8" x14ac:dyDescent="0.3">
      <c r="A844" s="2" t="str">
        <f t="shared" si="26"/>
        <v>Feb-2024</v>
      </c>
      <c r="B844" s="2">
        <v>45337.046697800928</v>
      </c>
      <c r="C844" s="5" t="s">
        <v>17</v>
      </c>
      <c r="D844" s="3">
        <v>4</v>
      </c>
      <c r="E844" s="4">
        <v>3500</v>
      </c>
      <c r="F844" s="5" t="s">
        <v>7</v>
      </c>
      <c r="G844" s="5" t="s">
        <v>371</v>
      </c>
      <c r="H844" s="1">
        <f t="shared" si="27"/>
        <v>14000</v>
      </c>
    </row>
    <row r="845" spans="1:8" x14ac:dyDescent="0.3">
      <c r="A845" s="2" t="str">
        <f t="shared" si="26"/>
        <v>Feb-2024</v>
      </c>
      <c r="B845" s="2">
        <v>45337.53368912037</v>
      </c>
      <c r="C845" s="5" t="s">
        <v>12</v>
      </c>
      <c r="D845" s="3">
        <v>5</v>
      </c>
      <c r="E845" s="4">
        <v>700</v>
      </c>
      <c r="F845" s="5" t="s">
        <v>7</v>
      </c>
      <c r="G845" s="5" t="s">
        <v>421</v>
      </c>
      <c r="H845" s="1">
        <f t="shared" si="27"/>
        <v>3500</v>
      </c>
    </row>
    <row r="846" spans="1:8" x14ac:dyDescent="0.3">
      <c r="A846" s="2" t="str">
        <f t="shared" si="26"/>
        <v>Feb-2024</v>
      </c>
      <c r="B846" s="2">
        <v>45338.020680451387</v>
      </c>
      <c r="C846" s="5" t="s">
        <v>12</v>
      </c>
      <c r="D846" s="3">
        <v>2</v>
      </c>
      <c r="E846" s="4">
        <v>150</v>
      </c>
      <c r="F846" s="5" t="s">
        <v>10</v>
      </c>
      <c r="G846" s="5" t="s">
        <v>302</v>
      </c>
      <c r="H846" s="1">
        <f t="shared" si="27"/>
        <v>300</v>
      </c>
    </row>
    <row r="847" spans="1:8" x14ac:dyDescent="0.3">
      <c r="A847" s="2" t="str">
        <f t="shared" si="26"/>
        <v>Feb-2024</v>
      </c>
      <c r="B847" s="2">
        <v>45338.507671782405</v>
      </c>
      <c r="C847" s="5" t="s">
        <v>26</v>
      </c>
      <c r="D847" s="3">
        <v>3</v>
      </c>
      <c r="E847" s="4">
        <v>1200</v>
      </c>
      <c r="F847" s="5" t="s">
        <v>13</v>
      </c>
      <c r="G847" s="5" t="s">
        <v>153</v>
      </c>
      <c r="H847" s="1">
        <f t="shared" si="27"/>
        <v>3600</v>
      </c>
    </row>
    <row r="848" spans="1:8" x14ac:dyDescent="0.3">
      <c r="A848" s="2" t="str">
        <f t="shared" si="26"/>
        <v>Feb-2024</v>
      </c>
      <c r="B848" s="2">
        <v>45338.994663113423</v>
      </c>
      <c r="C848" s="5" t="s">
        <v>6</v>
      </c>
      <c r="D848" s="3">
        <v>5</v>
      </c>
      <c r="E848" s="4">
        <v>150</v>
      </c>
      <c r="F848" s="5" t="s">
        <v>13</v>
      </c>
      <c r="G848" s="5" t="s">
        <v>309</v>
      </c>
      <c r="H848" s="1">
        <f t="shared" si="27"/>
        <v>750</v>
      </c>
    </row>
    <row r="849" spans="1:8" x14ac:dyDescent="0.3">
      <c r="A849" s="2" t="str">
        <f t="shared" si="26"/>
        <v>Feb-2024</v>
      </c>
      <c r="B849" s="2">
        <v>45339.481654432871</v>
      </c>
      <c r="C849" s="5" t="s">
        <v>17</v>
      </c>
      <c r="D849" s="3">
        <v>6</v>
      </c>
      <c r="E849" s="4">
        <v>1800</v>
      </c>
      <c r="F849" s="5" t="s">
        <v>24</v>
      </c>
      <c r="G849" s="5" t="s">
        <v>175</v>
      </c>
      <c r="H849" s="1">
        <f t="shared" si="27"/>
        <v>10800</v>
      </c>
    </row>
    <row r="850" spans="1:8" x14ac:dyDescent="0.3">
      <c r="A850" s="2" t="str">
        <f t="shared" si="26"/>
        <v>Feb-2024</v>
      </c>
      <c r="B850" s="2">
        <v>45339.968645763889</v>
      </c>
      <c r="C850" s="5" t="s">
        <v>26</v>
      </c>
      <c r="D850" s="3">
        <v>6</v>
      </c>
      <c r="E850" s="4">
        <v>150</v>
      </c>
      <c r="F850" s="5" t="s">
        <v>24</v>
      </c>
      <c r="G850" s="5" t="s">
        <v>341</v>
      </c>
      <c r="H850" s="1">
        <f t="shared" si="27"/>
        <v>900</v>
      </c>
    </row>
    <row r="851" spans="1:8" x14ac:dyDescent="0.3">
      <c r="A851" s="2" t="str">
        <f t="shared" si="26"/>
        <v>Feb-2024</v>
      </c>
      <c r="B851" s="2">
        <v>45340.455637094907</v>
      </c>
      <c r="C851" s="5" t="s">
        <v>17</v>
      </c>
      <c r="D851" s="3">
        <v>5</v>
      </c>
      <c r="E851" s="4">
        <v>1800</v>
      </c>
      <c r="F851" s="5" t="s">
        <v>13</v>
      </c>
      <c r="G851" s="5" t="s">
        <v>427</v>
      </c>
      <c r="H851" s="1">
        <f t="shared" si="27"/>
        <v>9000</v>
      </c>
    </row>
    <row r="852" spans="1:8" x14ac:dyDescent="0.3">
      <c r="A852" s="2" t="str">
        <f t="shared" si="26"/>
        <v>Feb-2024</v>
      </c>
      <c r="B852" s="2">
        <v>45340.942628414348</v>
      </c>
      <c r="C852" s="5" t="s">
        <v>17</v>
      </c>
      <c r="D852" s="3">
        <v>6</v>
      </c>
      <c r="E852" s="4">
        <v>1800</v>
      </c>
      <c r="F852" s="5" t="s">
        <v>24</v>
      </c>
      <c r="G852" s="5" t="s">
        <v>199</v>
      </c>
      <c r="H852" s="1">
        <f t="shared" si="27"/>
        <v>10800</v>
      </c>
    </row>
    <row r="853" spans="1:8" x14ac:dyDescent="0.3">
      <c r="A853" s="2" t="str">
        <f t="shared" si="26"/>
        <v>Feb-2024</v>
      </c>
      <c r="B853" s="2">
        <v>45341.429619745373</v>
      </c>
      <c r="C853" s="5" t="s">
        <v>17</v>
      </c>
      <c r="D853" s="3">
        <v>4</v>
      </c>
      <c r="E853" s="4">
        <v>1800</v>
      </c>
      <c r="F853" s="5" t="s">
        <v>10</v>
      </c>
      <c r="G853" s="5" t="s">
        <v>43</v>
      </c>
      <c r="H853" s="1">
        <f t="shared" si="27"/>
        <v>7200</v>
      </c>
    </row>
    <row r="854" spans="1:8" x14ac:dyDescent="0.3">
      <c r="A854" s="2" t="str">
        <f t="shared" si="26"/>
        <v>Feb-2024</v>
      </c>
      <c r="B854" s="2">
        <v>45341.916611076391</v>
      </c>
      <c r="C854" s="5" t="s">
        <v>26</v>
      </c>
      <c r="D854" s="3">
        <v>1</v>
      </c>
      <c r="E854" s="4">
        <v>1200</v>
      </c>
      <c r="F854" s="5" t="s">
        <v>13</v>
      </c>
      <c r="G854" s="5" t="s">
        <v>14</v>
      </c>
      <c r="H854" s="1">
        <f t="shared" si="27"/>
        <v>1200</v>
      </c>
    </row>
    <row r="855" spans="1:8" x14ac:dyDescent="0.3">
      <c r="A855" s="2" t="str">
        <f t="shared" si="26"/>
        <v>Feb-2024</v>
      </c>
      <c r="B855" s="2">
        <v>45342.403602395832</v>
      </c>
      <c r="C855" s="5" t="s">
        <v>12</v>
      </c>
      <c r="D855" s="3">
        <v>2</v>
      </c>
      <c r="E855" s="4">
        <v>150</v>
      </c>
      <c r="F855" s="5" t="s">
        <v>24</v>
      </c>
      <c r="G855" s="5" t="s">
        <v>183</v>
      </c>
      <c r="H855" s="1">
        <f t="shared" si="27"/>
        <v>300</v>
      </c>
    </row>
    <row r="856" spans="1:8" x14ac:dyDescent="0.3">
      <c r="A856" s="2" t="str">
        <f t="shared" si="26"/>
        <v>Feb-2024</v>
      </c>
      <c r="B856" s="2">
        <v>45342.89059372685</v>
      </c>
      <c r="C856" s="5" t="s">
        <v>12</v>
      </c>
      <c r="D856" s="3">
        <v>1</v>
      </c>
      <c r="E856" s="4">
        <v>150</v>
      </c>
      <c r="F856" s="5" t="s">
        <v>7</v>
      </c>
      <c r="G856" s="5" t="s">
        <v>119</v>
      </c>
      <c r="H856" s="1">
        <f t="shared" si="27"/>
        <v>150</v>
      </c>
    </row>
    <row r="857" spans="1:8" x14ac:dyDescent="0.3">
      <c r="A857" s="2" t="str">
        <f t="shared" si="26"/>
        <v>Feb-2024</v>
      </c>
      <c r="B857" s="2">
        <v>45343.377585057868</v>
      </c>
      <c r="C857" s="5" t="s">
        <v>17</v>
      </c>
      <c r="D857" s="3">
        <v>2</v>
      </c>
      <c r="E857" s="4">
        <v>1200</v>
      </c>
      <c r="F857" s="5" t="s">
        <v>13</v>
      </c>
      <c r="G857" s="5" t="s">
        <v>299</v>
      </c>
      <c r="H857" s="1">
        <f t="shared" si="27"/>
        <v>2400</v>
      </c>
    </row>
    <row r="858" spans="1:8" x14ac:dyDescent="0.3">
      <c r="A858" s="2" t="str">
        <f t="shared" si="26"/>
        <v>Feb-2024</v>
      </c>
      <c r="B858" s="2">
        <v>45343.864576388885</v>
      </c>
      <c r="C858" s="5" t="s">
        <v>6</v>
      </c>
      <c r="D858" s="3">
        <v>2</v>
      </c>
      <c r="E858" s="4">
        <v>700</v>
      </c>
      <c r="F858" s="5" t="s">
        <v>13</v>
      </c>
      <c r="G858" s="5" t="s">
        <v>414</v>
      </c>
      <c r="H858" s="1">
        <f t="shared" si="27"/>
        <v>1400</v>
      </c>
    </row>
    <row r="859" spans="1:8" x14ac:dyDescent="0.3">
      <c r="A859" s="2" t="str">
        <f t="shared" si="26"/>
        <v>Feb-2024</v>
      </c>
      <c r="B859" s="2">
        <v>45344.351567708334</v>
      </c>
      <c r="C859" s="5" t="s">
        <v>36</v>
      </c>
      <c r="D859" s="3">
        <v>1</v>
      </c>
      <c r="E859" s="4">
        <v>450</v>
      </c>
      <c r="F859" s="5" t="s">
        <v>7</v>
      </c>
      <c r="G859" s="5" t="s">
        <v>156</v>
      </c>
      <c r="H859" s="1">
        <f t="shared" si="27"/>
        <v>450</v>
      </c>
    </row>
    <row r="860" spans="1:8" x14ac:dyDescent="0.3">
      <c r="A860" s="2" t="str">
        <f t="shared" si="26"/>
        <v>Feb-2024</v>
      </c>
      <c r="B860" s="2">
        <v>45344.838559039352</v>
      </c>
      <c r="C860" s="5" t="s">
        <v>26</v>
      </c>
      <c r="D860" s="3">
        <v>5</v>
      </c>
      <c r="E860" s="4">
        <v>150</v>
      </c>
      <c r="F860" s="5" t="s">
        <v>10</v>
      </c>
      <c r="G860" s="5" t="s">
        <v>182</v>
      </c>
      <c r="H860" s="1">
        <f t="shared" si="27"/>
        <v>750</v>
      </c>
    </row>
    <row r="861" spans="1:8" x14ac:dyDescent="0.3">
      <c r="A861" s="2" t="str">
        <f t="shared" si="26"/>
        <v>Feb-2024</v>
      </c>
      <c r="B861" s="2">
        <v>45345.325550370369</v>
      </c>
      <c r="C861" s="5" t="s">
        <v>36</v>
      </c>
      <c r="D861" s="3">
        <v>2</v>
      </c>
      <c r="E861" s="4">
        <v>450</v>
      </c>
      <c r="F861" s="5" t="s">
        <v>7</v>
      </c>
      <c r="G861" s="5" t="s">
        <v>75</v>
      </c>
      <c r="H861" s="1">
        <f t="shared" si="27"/>
        <v>900</v>
      </c>
    </row>
    <row r="862" spans="1:8" x14ac:dyDescent="0.3">
      <c r="A862" s="2" t="str">
        <f t="shared" si="26"/>
        <v>Feb-2024</v>
      </c>
      <c r="B862" s="2">
        <v>45345.812541689818</v>
      </c>
      <c r="C862" s="5" t="s">
        <v>6</v>
      </c>
      <c r="D862" s="3">
        <v>1</v>
      </c>
      <c r="E862" s="4">
        <v>3500</v>
      </c>
      <c r="F862" s="5" t="s">
        <v>13</v>
      </c>
      <c r="G862" s="5" t="s">
        <v>232</v>
      </c>
      <c r="H862" s="1">
        <f t="shared" si="27"/>
        <v>3500</v>
      </c>
    </row>
    <row r="863" spans="1:8" x14ac:dyDescent="0.3">
      <c r="A863" s="2" t="str">
        <f t="shared" si="26"/>
        <v>Feb-2024</v>
      </c>
      <c r="B863" s="2">
        <v>45346.299533020836</v>
      </c>
      <c r="C863" s="5" t="s">
        <v>26</v>
      </c>
      <c r="D863" s="3">
        <v>2</v>
      </c>
      <c r="E863" s="4">
        <v>3500</v>
      </c>
      <c r="F863" s="5" t="s">
        <v>10</v>
      </c>
      <c r="G863" s="5" t="s">
        <v>274</v>
      </c>
      <c r="H863" s="1">
        <f t="shared" si="27"/>
        <v>7000</v>
      </c>
    </row>
    <row r="864" spans="1:8" x14ac:dyDescent="0.3">
      <c r="A864" s="2" t="str">
        <f t="shared" si="26"/>
        <v>Feb-2024</v>
      </c>
      <c r="B864" s="2">
        <v>45346.786524351854</v>
      </c>
      <c r="C864" s="5" t="s">
        <v>17</v>
      </c>
      <c r="D864" s="3">
        <v>3</v>
      </c>
      <c r="E864" s="4">
        <v>1200</v>
      </c>
      <c r="F864" s="5" t="s">
        <v>24</v>
      </c>
      <c r="G864" s="5" t="s">
        <v>428</v>
      </c>
      <c r="H864" s="1">
        <f t="shared" si="27"/>
        <v>3600</v>
      </c>
    </row>
    <row r="865" spans="1:8" x14ac:dyDescent="0.3">
      <c r="A865" s="2" t="str">
        <f t="shared" si="26"/>
        <v>Feb-2024</v>
      </c>
      <c r="B865" s="2">
        <v>45347.273515682871</v>
      </c>
      <c r="C865" s="5" t="s">
        <v>12</v>
      </c>
      <c r="D865" s="3">
        <v>5</v>
      </c>
      <c r="E865" s="4">
        <v>3500</v>
      </c>
      <c r="F865" s="5" t="s">
        <v>24</v>
      </c>
      <c r="G865" s="5" t="s">
        <v>290</v>
      </c>
      <c r="H865" s="1">
        <f t="shared" si="27"/>
        <v>17500</v>
      </c>
    </row>
    <row r="866" spans="1:8" x14ac:dyDescent="0.3">
      <c r="A866" s="2" t="str">
        <f t="shared" si="26"/>
        <v>Feb-2024</v>
      </c>
      <c r="B866" s="2">
        <v>45347.760507002313</v>
      </c>
      <c r="C866" s="5" t="s">
        <v>36</v>
      </c>
      <c r="D866" s="3">
        <v>4</v>
      </c>
      <c r="E866" s="4">
        <v>3500</v>
      </c>
      <c r="F866" s="5" t="s">
        <v>24</v>
      </c>
      <c r="G866" s="5" t="s">
        <v>278</v>
      </c>
      <c r="H866" s="1">
        <f t="shared" si="27"/>
        <v>14000</v>
      </c>
    </row>
    <row r="867" spans="1:8" x14ac:dyDescent="0.3">
      <c r="A867" s="2" t="str">
        <f t="shared" si="26"/>
        <v>Feb-2024</v>
      </c>
      <c r="B867" s="2">
        <v>45348.24749833333</v>
      </c>
      <c r="C867" s="5" t="s">
        <v>9</v>
      </c>
      <c r="D867" s="3">
        <v>2</v>
      </c>
      <c r="E867" s="4">
        <v>700</v>
      </c>
      <c r="F867" s="5" t="s">
        <v>13</v>
      </c>
      <c r="G867" s="5" t="s">
        <v>285</v>
      </c>
      <c r="H867" s="1">
        <f t="shared" si="27"/>
        <v>1400</v>
      </c>
    </row>
    <row r="868" spans="1:8" x14ac:dyDescent="0.3">
      <c r="A868" s="2" t="str">
        <f t="shared" si="26"/>
        <v>Feb-2024</v>
      </c>
      <c r="B868" s="2">
        <v>45348.734489664355</v>
      </c>
      <c r="C868" s="5" t="s">
        <v>9</v>
      </c>
      <c r="D868" s="3">
        <v>3</v>
      </c>
      <c r="E868" s="4">
        <v>700</v>
      </c>
      <c r="F868" s="5" t="s">
        <v>7</v>
      </c>
      <c r="G868" s="5" t="s">
        <v>429</v>
      </c>
      <c r="H868" s="1">
        <f t="shared" si="27"/>
        <v>2100</v>
      </c>
    </row>
    <row r="869" spans="1:8" x14ac:dyDescent="0.3">
      <c r="A869" s="2" t="str">
        <f t="shared" si="26"/>
        <v>Feb-2024</v>
      </c>
      <c r="B869" s="2">
        <v>45349.221480983797</v>
      </c>
      <c r="C869" s="5" t="s">
        <v>6</v>
      </c>
      <c r="D869" s="3">
        <v>4</v>
      </c>
      <c r="E869" s="4">
        <v>700</v>
      </c>
      <c r="F869" s="5" t="s">
        <v>10</v>
      </c>
      <c r="G869" s="5" t="s">
        <v>249</v>
      </c>
      <c r="H869" s="1">
        <f t="shared" si="27"/>
        <v>2800</v>
      </c>
    </row>
    <row r="870" spans="1:8" x14ac:dyDescent="0.3">
      <c r="A870" s="2" t="str">
        <f t="shared" si="26"/>
        <v>Feb-2024</v>
      </c>
      <c r="B870" s="2">
        <v>45349.708472314815</v>
      </c>
      <c r="C870" s="5" t="s">
        <v>17</v>
      </c>
      <c r="D870" s="3">
        <v>4</v>
      </c>
      <c r="E870" s="4">
        <v>3500</v>
      </c>
      <c r="F870" s="5" t="s">
        <v>24</v>
      </c>
      <c r="G870" s="5" t="s">
        <v>348</v>
      </c>
      <c r="H870" s="1">
        <f t="shared" si="27"/>
        <v>14000</v>
      </c>
    </row>
    <row r="871" spans="1:8" x14ac:dyDescent="0.3">
      <c r="A871" s="2" t="str">
        <f t="shared" si="26"/>
        <v>Feb-2024</v>
      </c>
      <c r="B871" s="2">
        <v>45350.195463645832</v>
      </c>
      <c r="C871" s="5" t="s">
        <v>36</v>
      </c>
      <c r="D871" s="3">
        <v>2</v>
      </c>
      <c r="E871" s="4">
        <v>1200</v>
      </c>
      <c r="F871" s="5" t="s">
        <v>10</v>
      </c>
      <c r="G871" s="5" t="s">
        <v>355</v>
      </c>
      <c r="H871" s="1">
        <f t="shared" si="27"/>
        <v>2400</v>
      </c>
    </row>
    <row r="872" spans="1:8" x14ac:dyDescent="0.3">
      <c r="A872" s="2" t="str">
        <f t="shared" si="26"/>
        <v>Feb-2024</v>
      </c>
      <c r="B872" s="2">
        <v>45350.682454965281</v>
      </c>
      <c r="C872" s="5" t="s">
        <v>17</v>
      </c>
      <c r="D872" s="3">
        <v>1</v>
      </c>
      <c r="E872" s="4">
        <v>1800</v>
      </c>
      <c r="F872" s="5" t="s">
        <v>13</v>
      </c>
      <c r="G872" s="5" t="s">
        <v>430</v>
      </c>
      <c r="H872" s="1">
        <f t="shared" si="27"/>
        <v>1800</v>
      </c>
    </row>
    <row r="873" spans="1:8" x14ac:dyDescent="0.3">
      <c r="A873" s="2" t="str">
        <f t="shared" si="26"/>
        <v>Feb-2024</v>
      </c>
      <c r="B873" s="2">
        <v>45351.169446296299</v>
      </c>
      <c r="C873" s="5" t="s">
        <v>36</v>
      </c>
      <c r="D873" s="3">
        <v>2</v>
      </c>
      <c r="E873" s="4">
        <v>1800</v>
      </c>
      <c r="F873" s="5" t="s">
        <v>24</v>
      </c>
      <c r="G873" s="5" t="s">
        <v>377</v>
      </c>
      <c r="H873" s="1">
        <f t="shared" si="27"/>
        <v>3600</v>
      </c>
    </row>
    <row r="874" spans="1:8" x14ac:dyDescent="0.3">
      <c r="A874" s="2" t="str">
        <f t="shared" si="26"/>
        <v>Feb-2024</v>
      </c>
      <c r="B874" s="2">
        <v>45351.656437627316</v>
      </c>
      <c r="C874" s="5" t="s">
        <v>6</v>
      </c>
      <c r="D874" s="3">
        <v>3</v>
      </c>
      <c r="E874" s="4">
        <v>450</v>
      </c>
      <c r="F874" s="5" t="s">
        <v>13</v>
      </c>
      <c r="G874" s="5" t="s">
        <v>167</v>
      </c>
      <c r="H874" s="1">
        <f t="shared" si="27"/>
        <v>1350</v>
      </c>
    </row>
    <row r="875" spans="1:8" x14ac:dyDescent="0.3">
      <c r="A875" s="2" t="str">
        <f t="shared" si="26"/>
        <v>Mar-2024</v>
      </c>
      <c r="B875" s="2">
        <v>45352.143428958334</v>
      </c>
      <c r="C875" s="5" t="s">
        <v>6</v>
      </c>
      <c r="D875" s="3">
        <v>4</v>
      </c>
      <c r="E875" s="4">
        <v>1800</v>
      </c>
      <c r="F875" s="5" t="s">
        <v>7</v>
      </c>
      <c r="G875" s="5" t="s">
        <v>252</v>
      </c>
      <c r="H875" s="1">
        <f t="shared" si="27"/>
        <v>7200</v>
      </c>
    </row>
    <row r="876" spans="1:8" x14ac:dyDescent="0.3">
      <c r="A876" s="2" t="str">
        <f t="shared" si="26"/>
        <v>Mar-2024</v>
      </c>
      <c r="B876" s="2">
        <v>45352.630420277776</v>
      </c>
      <c r="C876" s="5" t="s">
        <v>9</v>
      </c>
      <c r="D876" s="3">
        <v>2</v>
      </c>
      <c r="E876" s="4">
        <v>1800</v>
      </c>
      <c r="F876" s="5" t="s">
        <v>13</v>
      </c>
      <c r="G876" s="5" t="s">
        <v>190</v>
      </c>
      <c r="H876" s="1">
        <f t="shared" si="27"/>
        <v>3600</v>
      </c>
    </row>
    <row r="877" spans="1:8" x14ac:dyDescent="0.3">
      <c r="A877" s="2" t="str">
        <f t="shared" si="26"/>
        <v>Mar-2024</v>
      </c>
      <c r="B877" s="2">
        <v>45353.117411608793</v>
      </c>
      <c r="C877" s="5" t="s">
        <v>17</v>
      </c>
      <c r="D877" s="3">
        <v>1</v>
      </c>
      <c r="E877" s="4">
        <v>700</v>
      </c>
      <c r="F877" s="5" t="s">
        <v>13</v>
      </c>
      <c r="G877" s="5" t="s">
        <v>344</v>
      </c>
      <c r="H877" s="1">
        <f t="shared" si="27"/>
        <v>700</v>
      </c>
    </row>
    <row r="878" spans="1:8" x14ac:dyDescent="0.3">
      <c r="A878" s="2" t="str">
        <f t="shared" si="26"/>
        <v>Mar-2024</v>
      </c>
      <c r="B878" s="2">
        <v>45353.604402939818</v>
      </c>
      <c r="C878" s="5" t="s">
        <v>26</v>
      </c>
      <c r="D878" s="3">
        <v>2</v>
      </c>
      <c r="E878" s="4">
        <v>700</v>
      </c>
      <c r="F878" s="5" t="s">
        <v>7</v>
      </c>
      <c r="G878" s="5" t="s">
        <v>431</v>
      </c>
      <c r="H878" s="1">
        <f t="shared" si="27"/>
        <v>1400</v>
      </c>
    </row>
    <row r="879" spans="1:8" x14ac:dyDescent="0.3">
      <c r="A879" s="2" t="str">
        <f t="shared" si="26"/>
        <v>Mar-2024</v>
      </c>
      <c r="B879" s="2">
        <v>45354.09139425926</v>
      </c>
      <c r="C879" s="5" t="s">
        <v>9</v>
      </c>
      <c r="D879" s="3">
        <v>5</v>
      </c>
      <c r="E879" s="4">
        <v>3500</v>
      </c>
      <c r="F879" s="5" t="s">
        <v>10</v>
      </c>
      <c r="G879" s="5" t="s">
        <v>87</v>
      </c>
      <c r="H879" s="1">
        <f t="shared" si="27"/>
        <v>17500</v>
      </c>
    </row>
    <row r="880" spans="1:8" x14ac:dyDescent="0.3">
      <c r="A880" s="2" t="str">
        <f t="shared" si="26"/>
        <v>Mar-2024</v>
      </c>
      <c r="B880" s="2">
        <v>45354.578385590277</v>
      </c>
      <c r="C880" s="5" t="s">
        <v>17</v>
      </c>
      <c r="D880" s="3">
        <v>1</v>
      </c>
      <c r="E880" s="4">
        <v>450</v>
      </c>
      <c r="F880" s="5" t="s">
        <v>7</v>
      </c>
      <c r="G880" s="5" t="s">
        <v>194</v>
      </c>
      <c r="H880" s="1">
        <f t="shared" si="27"/>
        <v>450</v>
      </c>
    </row>
    <row r="881" spans="1:8" x14ac:dyDescent="0.3">
      <c r="A881" s="2" t="str">
        <f t="shared" si="26"/>
        <v>Mar-2024</v>
      </c>
      <c r="B881" s="2">
        <v>45355.065376921295</v>
      </c>
      <c r="C881" s="5" t="s">
        <v>9</v>
      </c>
      <c r="D881" s="3">
        <v>3</v>
      </c>
      <c r="E881" s="4">
        <v>150</v>
      </c>
      <c r="F881" s="5" t="s">
        <v>7</v>
      </c>
      <c r="G881" s="5" t="s">
        <v>163</v>
      </c>
      <c r="H881" s="1">
        <f t="shared" si="27"/>
        <v>450</v>
      </c>
    </row>
    <row r="882" spans="1:8" x14ac:dyDescent="0.3">
      <c r="A882" s="2" t="str">
        <f t="shared" si="26"/>
        <v>Mar-2024</v>
      </c>
      <c r="B882" s="2">
        <v>45355.552368240744</v>
      </c>
      <c r="C882" s="5" t="s">
        <v>26</v>
      </c>
      <c r="D882" s="3">
        <v>4</v>
      </c>
      <c r="E882" s="4">
        <v>450</v>
      </c>
      <c r="F882" s="5" t="s">
        <v>13</v>
      </c>
      <c r="G882" s="5" t="s">
        <v>85</v>
      </c>
      <c r="H882" s="1">
        <f t="shared" si="27"/>
        <v>1800</v>
      </c>
    </row>
    <row r="883" spans="1:8" x14ac:dyDescent="0.3">
      <c r="A883" s="2" t="str">
        <f t="shared" si="26"/>
        <v>Mar-2024</v>
      </c>
      <c r="B883" s="2">
        <v>45356.039359571761</v>
      </c>
      <c r="C883" s="5" t="s">
        <v>12</v>
      </c>
      <c r="D883" s="3">
        <v>2</v>
      </c>
      <c r="E883" s="4">
        <v>450</v>
      </c>
      <c r="F883" s="5" t="s">
        <v>10</v>
      </c>
      <c r="G883" s="5" t="s">
        <v>278</v>
      </c>
      <c r="H883" s="1">
        <f t="shared" si="27"/>
        <v>900</v>
      </c>
    </row>
    <row r="884" spans="1:8" x14ac:dyDescent="0.3">
      <c r="A884" s="2" t="str">
        <f t="shared" si="26"/>
        <v>Mar-2024</v>
      </c>
      <c r="B884" s="2">
        <v>45356.526350902779</v>
      </c>
      <c r="C884" s="5" t="s">
        <v>12</v>
      </c>
      <c r="D884" s="3">
        <v>1</v>
      </c>
      <c r="E884" s="4">
        <v>1200</v>
      </c>
      <c r="F884" s="5" t="s">
        <v>24</v>
      </c>
      <c r="G884" s="5" t="s">
        <v>432</v>
      </c>
      <c r="H884" s="1">
        <f t="shared" si="27"/>
        <v>1200</v>
      </c>
    </row>
    <row r="885" spans="1:8" x14ac:dyDescent="0.3">
      <c r="A885" s="2" t="str">
        <f t="shared" si="26"/>
        <v>Mar-2024</v>
      </c>
      <c r="B885" s="2">
        <v>45357.013342233797</v>
      </c>
      <c r="C885" s="5" t="s">
        <v>12</v>
      </c>
      <c r="D885" s="3">
        <v>5</v>
      </c>
      <c r="E885" s="4">
        <v>3500</v>
      </c>
      <c r="F885" s="5" t="s">
        <v>7</v>
      </c>
      <c r="G885" s="5" t="s">
        <v>371</v>
      </c>
      <c r="H885" s="1">
        <f t="shared" si="27"/>
        <v>17500</v>
      </c>
    </row>
    <row r="886" spans="1:8" x14ac:dyDescent="0.3">
      <c r="A886" s="2" t="str">
        <f t="shared" si="26"/>
        <v>Mar-2024</v>
      </c>
      <c r="B886" s="2">
        <v>45357.500333553238</v>
      </c>
      <c r="C886" s="5" t="s">
        <v>12</v>
      </c>
      <c r="D886" s="3">
        <v>1</v>
      </c>
      <c r="E886" s="4">
        <v>1200</v>
      </c>
      <c r="F886" s="5" t="s">
        <v>10</v>
      </c>
      <c r="G886" s="5" t="s">
        <v>275</v>
      </c>
      <c r="H886" s="1">
        <f t="shared" si="27"/>
        <v>1200</v>
      </c>
    </row>
    <row r="887" spans="1:8" x14ac:dyDescent="0.3">
      <c r="A887" s="2" t="str">
        <f t="shared" si="26"/>
        <v>Mar-2024</v>
      </c>
      <c r="B887" s="2">
        <v>45357.987324884256</v>
      </c>
      <c r="C887" s="5" t="s">
        <v>36</v>
      </c>
      <c r="D887" s="3">
        <v>6</v>
      </c>
      <c r="E887" s="4">
        <v>450</v>
      </c>
      <c r="F887" s="5" t="s">
        <v>7</v>
      </c>
      <c r="G887" s="5" t="s">
        <v>373</v>
      </c>
      <c r="H887" s="1">
        <f t="shared" si="27"/>
        <v>2700</v>
      </c>
    </row>
    <row r="888" spans="1:8" x14ac:dyDescent="0.3">
      <c r="A888" s="2" t="str">
        <f t="shared" si="26"/>
        <v>Mar-2024</v>
      </c>
      <c r="B888" s="2">
        <v>45358.474316215281</v>
      </c>
      <c r="C888" s="5" t="s">
        <v>12</v>
      </c>
      <c r="D888" s="3">
        <v>5</v>
      </c>
      <c r="E888" s="4">
        <v>450</v>
      </c>
      <c r="F888" s="5" t="s">
        <v>7</v>
      </c>
      <c r="G888" s="5" t="s">
        <v>150</v>
      </c>
      <c r="H888" s="1">
        <f t="shared" si="27"/>
        <v>2250</v>
      </c>
    </row>
    <row r="889" spans="1:8" x14ac:dyDescent="0.3">
      <c r="A889" s="2" t="str">
        <f t="shared" si="26"/>
        <v>Mar-2024</v>
      </c>
      <c r="B889" s="2">
        <v>45358.961307534722</v>
      </c>
      <c r="C889" s="5" t="s">
        <v>26</v>
      </c>
      <c r="D889" s="3">
        <v>3</v>
      </c>
      <c r="E889" s="4">
        <v>450</v>
      </c>
      <c r="F889" s="5" t="s">
        <v>7</v>
      </c>
      <c r="G889" s="5" t="s">
        <v>162</v>
      </c>
      <c r="H889" s="1">
        <f t="shared" si="27"/>
        <v>1350</v>
      </c>
    </row>
    <row r="890" spans="1:8" x14ac:dyDescent="0.3">
      <c r="A890" s="2" t="str">
        <f t="shared" si="26"/>
        <v>Mar-2024</v>
      </c>
      <c r="B890" s="2">
        <v>45359.44829886574</v>
      </c>
      <c r="C890" s="5" t="s">
        <v>6</v>
      </c>
      <c r="D890" s="3">
        <v>4</v>
      </c>
      <c r="E890" s="4">
        <v>1800</v>
      </c>
      <c r="F890" s="5" t="s">
        <v>7</v>
      </c>
      <c r="G890" s="5" t="s">
        <v>324</v>
      </c>
      <c r="H890" s="1">
        <f t="shared" si="27"/>
        <v>7200</v>
      </c>
    </row>
    <row r="891" spans="1:8" x14ac:dyDescent="0.3">
      <c r="A891" s="2" t="str">
        <f t="shared" si="26"/>
        <v>Mar-2024</v>
      </c>
      <c r="B891" s="2">
        <v>45359.935290196758</v>
      </c>
      <c r="C891" s="5" t="s">
        <v>6</v>
      </c>
      <c r="D891" s="3">
        <v>3</v>
      </c>
      <c r="E891" s="4">
        <v>1200</v>
      </c>
      <c r="F891" s="5" t="s">
        <v>13</v>
      </c>
      <c r="G891" s="5" t="s">
        <v>433</v>
      </c>
      <c r="H891" s="1">
        <f t="shared" si="27"/>
        <v>3600</v>
      </c>
    </row>
    <row r="892" spans="1:8" x14ac:dyDescent="0.3">
      <c r="A892" s="2" t="str">
        <f t="shared" si="26"/>
        <v>Mar-2024</v>
      </c>
      <c r="B892" s="2">
        <v>45360.422281516207</v>
      </c>
      <c r="C892" s="5" t="s">
        <v>36</v>
      </c>
      <c r="D892" s="3">
        <v>2</v>
      </c>
      <c r="E892" s="4">
        <v>450</v>
      </c>
      <c r="F892" s="5" t="s">
        <v>10</v>
      </c>
      <c r="G892" s="5" t="s">
        <v>316</v>
      </c>
      <c r="H892" s="1">
        <f t="shared" si="27"/>
        <v>900</v>
      </c>
    </row>
    <row r="893" spans="1:8" x14ac:dyDescent="0.3">
      <c r="A893" s="2" t="str">
        <f t="shared" si="26"/>
        <v>Mar-2024</v>
      </c>
      <c r="B893" s="2">
        <v>45360.909272847224</v>
      </c>
      <c r="C893" s="5" t="s">
        <v>12</v>
      </c>
      <c r="D893" s="3">
        <v>1</v>
      </c>
      <c r="E893" s="4">
        <v>700</v>
      </c>
      <c r="F893" s="5" t="s">
        <v>10</v>
      </c>
      <c r="G893" s="5" t="s">
        <v>434</v>
      </c>
      <c r="H893" s="1">
        <f t="shared" si="27"/>
        <v>700</v>
      </c>
    </row>
    <row r="894" spans="1:8" x14ac:dyDescent="0.3">
      <c r="A894" s="2" t="str">
        <f t="shared" si="26"/>
        <v>Mar-2024</v>
      </c>
      <c r="B894" s="2">
        <v>45361.396264178242</v>
      </c>
      <c r="C894" s="5" t="s">
        <v>12</v>
      </c>
      <c r="D894" s="3">
        <v>6</v>
      </c>
      <c r="E894" s="4">
        <v>3500</v>
      </c>
      <c r="F894" s="5" t="s">
        <v>10</v>
      </c>
      <c r="G894" s="5" t="s">
        <v>324</v>
      </c>
      <c r="H894" s="1">
        <f t="shared" si="27"/>
        <v>21000</v>
      </c>
    </row>
    <row r="895" spans="1:8" x14ac:dyDescent="0.3">
      <c r="A895" s="2" t="str">
        <f t="shared" si="26"/>
        <v>Mar-2024</v>
      </c>
      <c r="B895" s="2">
        <v>45361.883255509259</v>
      </c>
      <c r="C895" s="5" t="s">
        <v>12</v>
      </c>
      <c r="D895" s="3">
        <v>5</v>
      </c>
      <c r="E895" s="4">
        <v>3500</v>
      </c>
      <c r="F895" s="5" t="s">
        <v>7</v>
      </c>
      <c r="G895" s="5" t="s">
        <v>435</v>
      </c>
      <c r="H895" s="1">
        <f t="shared" si="27"/>
        <v>17500</v>
      </c>
    </row>
    <row r="896" spans="1:8" x14ac:dyDescent="0.3">
      <c r="A896" s="2" t="str">
        <f t="shared" si="26"/>
        <v>Mar-2024</v>
      </c>
      <c r="B896" s="2">
        <v>45362.370246828701</v>
      </c>
      <c r="C896" s="5" t="s">
        <v>9</v>
      </c>
      <c r="D896" s="3">
        <v>5</v>
      </c>
      <c r="E896" s="4">
        <v>700</v>
      </c>
      <c r="F896" s="5" t="s">
        <v>13</v>
      </c>
      <c r="G896" s="5" t="s">
        <v>386</v>
      </c>
      <c r="H896" s="1">
        <f t="shared" si="27"/>
        <v>3500</v>
      </c>
    </row>
    <row r="897" spans="1:8" x14ac:dyDescent="0.3">
      <c r="A897" s="2" t="str">
        <f t="shared" si="26"/>
        <v>Mar-2024</v>
      </c>
      <c r="B897" s="2">
        <v>45362.857238159719</v>
      </c>
      <c r="C897" s="5" t="s">
        <v>17</v>
      </c>
      <c r="D897" s="3">
        <v>1</v>
      </c>
      <c r="E897" s="4">
        <v>3500</v>
      </c>
      <c r="F897" s="5" t="s">
        <v>7</v>
      </c>
      <c r="G897" s="5" t="s">
        <v>179</v>
      </c>
      <c r="H897" s="1">
        <f t="shared" si="27"/>
        <v>3500</v>
      </c>
    </row>
    <row r="898" spans="1:8" x14ac:dyDescent="0.3">
      <c r="A898" s="2" t="str">
        <f t="shared" si="26"/>
        <v>Mar-2024</v>
      </c>
      <c r="B898" s="2">
        <v>45363.344229490744</v>
      </c>
      <c r="C898" s="5" t="s">
        <v>9</v>
      </c>
      <c r="D898" s="3">
        <v>6</v>
      </c>
      <c r="E898" s="4">
        <v>1800</v>
      </c>
      <c r="F898" s="5" t="s">
        <v>7</v>
      </c>
      <c r="G898" s="5" t="s">
        <v>210</v>
      </c>
      <c r="H898" s="1">
        <f t="shared" si="27"/>
        <v>10800</v>
      </c>
    </row>
    <row r="899" spans="1:8" x14ac:dyDescent="0.3">
      <c r="A899" s="2" t="str">
        <f t="shared" ref="A899:A962" si="28">TEXT(B899, "mmm-yyyy")</f>
        <v>Mar-2024</v>
      </c>
      <c r="B899" s="2">
        <v>45363.831220810185</v>
      </c>
      <c r="C899" s="5" t="s">
        <v>17</v>
      </c>
      <c r="D899" s="3">
        <v>1</v>
      </c>
      <c r="E899" s="4">
        <v>1800</v>
      </c>
      <c r="F899" s="5" t="s">
        <v>10</v>
      </c>
      <c r="G899" s="5" t="s">
        <v>423</v>
      </c>
      <c r="H899" s="1">
        <f t="shared" ref="H899:H962" si="29" xml:space="preserve"> D899 * E899</f>
        <v>1800</v>
      </c>
    </row>
    <row r="900" spans="1:8" x14ac:dyDescent="0.3">
      <c r="A900" s="2" t="str">
        <f t="shared" si="28"/>
        <v>Mar-2024</v>
      </c>
      <c r="B900" s="2">
        <v>45364.318212141203</v>
      </c>
      <c r="C900" s="5" t="s">
        <v>12</v>
      </c>
      <c r="D900" s="3">
        <v>2</v>
      </c>
      <c r="E900" s="4">
        <v>150</v>
      </c>
      <c r="F900" s="5" t="s">
        <v>7</v>
      </c>
      <c r="G900" s="5" t="s">
        <v>123</v>
      </c>
      <c r="H900" s="1">
        <f t="shared" si="29"/>
        <v>300</v>
      </c>
    </row>
    <row r="901" spans="1:8" x14ac:dyDescent="0.3">
      <c r="A901" s="2" t="str">
        <f t="shared" si="28"/>
        <v>Mar-2024</v>
      </c>
      <c r="B901" s="2">
        <v>45364.80520347222</v>
      </c>
      <c r="C901" s="5" t="s">
        <v>12</v>
      </c>
      <c r="D901" s="3">
        <v>3</v>
      </c>
      <c r="E901" s="4">
        <v>150</v>
      </c>
      <c r="F901" s="5" t="s">
        <v>24</v>
      </c>
      <c r="G901" s="5" t="s">
        <v>286</v>
      </c>
      <c r="H901" s="1">
        <f t="shared" si="29"/>
        <v>450</v>
      </c>
    </row>
    <row r="902" spans="1:8" x14ac:dyDescent="0.3">
      <c r="A902" s="2" t="str">
        <f t="shared" si="28"/>
        <v>Mar-2024</v>
      </c>
      <c r="B902" s="2">
        <v>45365.292194791669</v>
      </c>
      <c r="C902" s="5" t="s">
        <v>9</v>
      </c>
      <c r="D902" s="3">
        <v>5</v>
      </c>
      <c r="E902" s="4">
        <v>150</v>
      </c>
      <c r="F902" s="5" t="s">
        <v>7</v>
      </c>
      <c r="G902" s="5" t="s">
        <v>436</v>
      </c>
      <c r="H902" s="1">
        <f t="shared" si="29"/>
        <v>750</v>
      </c>
    </row>
    <row r="903" spans="1:8" x14ac:dyDescent="0.3">
      <c r="A903" s="2" t="str">
        <f t="shared" si="28"/>
        <v>Mar-2024</v>
      </c>
      <c r="B903" s="2">
        <v>45365.779186122687</v>
      </c>
      <c r="C903" s="5" t="s">
        <v>9</v>
      </c>
      <c r="D903" s="3">
        <v>2</v>
      </c>
      <c r="E903" s="4">
        <v>3500</v>
      </c>
      <c r="F903" s="5" t="s">
        <v>24</v>
      </c>
      <c r="G903" s="5" t="s">
        <v>203</v>
      </c>
      <c r="H903" s="1">
        <f t="shared" si="29"/>
        <v>7000</v>
      </c>
    </row>
    <row r="904" spans="1:8" x14ac:dyDescent="0.3">
      <c r="A904" s="2" t="str">
        <f t="shared" si="28"/>
        <v>Mar-2024</v>
      </c>
      <c r="B904" s="2">
        <v>45366.266177453705</v>
      </c>
      <c r="C904" s="5" t="s">
        <v>17</v>
      </c>
      <c r="D904" s="3">
        <v>3</v>
      </c>
      <c r="E904" s="4">
        <v>1800</v>
      </c>
      <c r="F904" s="5" t="s">
        <v>7</v>
      </c>
      <c r="G904" s="5" t="s">
        <v>437</v>
      </c>
      <c r="H904" s="1">
        <f t="shared" si="29"/>
        <v>5400</v>
      </c>
    </row>
    <row r="905" spans="1:8" x14ac:dyDescent="0.3">
      <c r="A905" s="2" t="str">
        <f t="shared" si="28"/>
        <v>Mar-2024</v>
      </c>
      <c r="B905" s="2">
        <v>45366.753168784722</v>
      </c>
      <c r="C905" s="5" t="s">
        <v>6</v>
      </c>
      <c r="D905" s="3">
        <v>2</v>
      </c>
      <c r="E905" s="4">
        <v>1800</v>
      </c>
      <c r="F905" s="5" t="s">
        <v>13</v>
      </c>
      <c r="G905" s="5" t="s">
        <v>169</v>
      </c>
      <c r="H905" s="1">
        <f t="shared" si="29"/>
        <v>3600</v>
      </c>
    </row>
    <row r="906" spans="1:8" x14ac:dyDescent="0.3">
      <c r="A906" s="2" t="str">
        <f t="shared" si="28"/>
        <v>Mar-2024</v>
      </c>
      <c r="B906" s="2">
        <v>45367.240160104164</v>
      </c>
      <c r="C906" s="5" t="s">
        <v>17</v>
      </c>
      <c r="D906" s="3">
        <v>6</v>
      </c>
      <c r="E906" s="4">
        <v>1800</v>
      </c>
      <c r="F906" s="5" t="s">
        <v>13</v>
      </c>
      <c r="G906" s="5" t="s">
        <v>85</v>
      </c>
      <c r="H906" s="1">
        <f t="shared" si="29"/>
        <v>10800</v>
      </c>
    </row>
    <row r="907" spans="1:8" x14ac:dyDescent="0.3">
      <c r="A907" s="2" t="str">
        <f t="shared" si="28"/>
        <v>Mar-2024</v>
      </c>
      <c r="B907" s="2">
        <v>45367.727151435189</v>
      </c>
      <c r="C907" s="5" t="s">
        <v>9</v>
      </c>
      <c r="D907" s="3">
        <v>5</v>
      </c>
      <c r="E907" s="4">
        <v>700</v>
      </c>
      <c r="F907" s="5" t="s">
        <v>10</v>
      </c>
      <c r="G907" s="5" t="s">
        <v>187</v>
      </c>
      <c r="H907" s="1">
        <f t="shared" si="29"/>
        <v>3500</v>
      </c>
    </row>
    <row r="908" spans="1:8" x14ac:dyDescent="0.3">
      <c r="A908" s="2" t="str">
        <f t="shared" si="28"/>
        <v>Mar-2024</v>
      </c>
      <c r="B908" s="2">
        <v>45368.214142766206</v>
      </c>
      <c r="C908" s="5" t="s">
        <v>26</v>
      </c>
      <c r="D908" s="3">
        <v>1</v>
      </c>
      <c r="E908" s="4">
        <v>1800</v>
      </c>
      <c r="F908" s="5" t="s">
        <v>7</v>
      </c>
      <c r="G908" s="5" t="s">
        <v>243</v>
      </c>
      <c r="H908" s="1">
        <f t="shared" si="29"/>
        <v>1800</v>
      </c>
    </row>
    <row r="909" spans="1:8" x14ac:dyDescent="0.3">
      <c r="A909" s="2" t="str">
        <f t="shared" si="28"/>
        <v>Mar-2024</v>
      </c>
      <c r="B909" s="2">
        <v>45368.701134085648</v>
      </c>
      <c r="C909" s="5" t="s">
        <v>9</v>
      </c>
      <c r="D909" s="3">
        <v>1</v>
      </c>
      <c r="E909" s="4">
        <v>700</v>
      </c>
      <c r="F909" s="5" t="s">
        <v>24</v>
      </c>
      <c r="G909" s="5" t="s">
        <v>434</v>
      </c>
      <c r="H909" s="1">
        <f t="shared" si="29"/>
        <v>700</v>
      </c>
    </row>
    <row r="910" spans="1:8" x14ac:dyDescent="0.3">
      <c r="A910" s="2" t="str">
        <f t="shared" si="28"/>
        <v>Mar-2024</v>
      </c>
      <c r="B910" s="2">
        <v>45369.188125416666</v>
      </c>
      <c r="C910" s="5" t="s">
        <v>26</v>
      </c>
      <c r="D910" s="3">
        <v>3</v>
      </c>
      <c r="E910" s="4">
        <v>150</v>
      </c>
      <c r="F910" s="5" t="s">
        <v>24</v>
      </c>
      <c r="G910" s="5" t="s">
        <v>78</v>
      </c>
      <c r="H910" s="1">
        <f t="shared" si="29"/>
        <v>450</v>
      </c>
    </row>
    <row r="911" spans="1:8" x14ac:dyDescent="0.3">
      <c r="A911" s="2" t="str">
        <f t="shared" si="28"/>
        <v>Mar-2024</v>
      </c>
      <c r="B911" s="2">
        <v>45369.675116747683</v>
      </c>
      <c r="C911" s="5" t="s">
        <v>36</v>
      </c>
      <c r="D911" s="3">
        <v>4</v>
      </c>
      <c r="E911" s="4">
        <v>150</v>
      </c>
      <c r="F911" s="5" t="s">
        <v>7</v>
      </c>
      <c r="G911" s="5" t="s">
        <v>355</v>
      </c>
      <c r="H911" s="1">
        <f t="shared" si="29"/>
        <v>600</v>
      </c>
    </row>
    <row r="912" spans="1:8" x14ac:dyDescent="0.3">
      <c r="A912" s="2" t="str">
        <f t="shared" si="28"/>
        <v>Mar-2024</v>
      </c>
      <c r="B912" s="2">
        <v>45370.162108067132</v>
      </c>
      <c r="C912" s="5" t="s">
        <v>9</v>
      </c>
      <c r="D912" s="3">
        <v>6</v>
      </c>
      <c r="E912" s="4">
        <v>3500</v>
      </c>
      <c r="F912" s="5" t="s">
        <v>24</v>
      </c>
      <c r="G912" s="5" t="s">
        <v>181</v>
      </c>
      <c r="H912" s="1">
        <f t="shared" si="29"/>
        <v>21000</v>
      </c>
    </row>
    <row r="913" spans="1:8" x14ac:dyDescent="0.3">
      <c r="A913" s="2" t="str">
        <f t="shared" si="28"/>
        <v>Mar-2024</v>
      </c>
      <c r="B913" s="2">
        <v>45370.64909939815</v>
      </c>
      <c r="C913" s="5" t="s">
        <v>36</v>
      </c>
      <c r="D913" s="3">
        <v>3</v>
      </c>
      <c r="E913" s="4">
        <v>150</v>
      </c>
      <c r="F913" s="5" t="s">
        <v>13</v>
      </c>
      <c r="G913" s="5" t="s">
        <v>438</v>
      </c>
      <c r="H913" s="1">
        <f t="shared" si="29"/>
        <v>450</v>
      </c>
    </row>
    <row r="914" spans="1:8" x14ac:dyDescent="0.3">
      <c r="A914" s="2" t="str">
        <f t="shared" si="28"/>
        <v>Mar-2024</v>
      </c>
      <c r="B914" s="2">
        <v>45371.136090729167</v>
      </c>
      <c r="C914" s="5" t="s">
        <v>6</v>
      </c>
      <c r="D914" s="3">
        <v>4</v>
      </c>
      <c r="E914" s="4">
        <v>3500</v>
      </c>
      <c r="F914" s="5" t="s">
        <v>24</v>
      </c>
      <c r="G914" s="5" t="s">
        <v>113</v>
      </c>
      <c r="H914" s="1">
        <f t="shared" si="29"/>
        <v>14000</v>
      </c>
    </row>
    <row r="915" spans="1:8" x14ac:dyDescent="0.3">
      <c r="A915" s="2" t="str">
        <f t="shared" si="28"/>
        <v>Mar-2024</v>
      </c>
      <c r="B915" s="2">
        <v>45371.623082060185</v>
      </c>
      <c r="C915" s="5" t="s">
        <v>17</v>
      </c>
      <c r="D915" s="3">
        <v>2</v>
      </c>
      <c r="E915" s="4">
        <v>450</v>
      </c>
      <c r="F915" s="5" t="s">
        <v>10</v>
      </c>
      <c r="G915" s="5" t="s">
        <v>408</v>
      </c>
      <c r="H915" s="1">
        <f t="shared" si="29"/>
        <v>900</v>
      </c>
    </row>
    <row r="916" spans="1:8" x14ac:dyDescent="0.3">
      <c r="A916" s="2" t="str">
        <f t="shared" si="28"/>
        <v>Mar-2024</v>
      </c>
      <c r="B916" s="2">
        <v>45372.110073379627</v>
      </c>
      <c r="C916" s="5" t="s">
        <v>26</v>
      </c>
      <c r="D916" s="3">
        <v>6</v>
      </c>
      <c r="E916" s="4">
        <v>450</v>
      </c>
      <c r="F916" s="5" t="s">
        <v>13</v>
      </c>
      <c r="G916" s="5" t="s">
        <v>439</v>
      </c>
      <c r="H916" s="1">
        <f t="shared" si="29"/>
        <v>2700</v>
      </c>
    </row>
    <row r="917" spans="1:8" x14ac:dyDescent="0.3">
      <c r="A917" s="2" t="str">
        <f t="shared" si="28"/>
        <v>Mar-2024</v>
      </c>
      <c r="B917" s="2">
        <v>45372.597064710651</v>
      </c>
      <c r="C917" s="5" t="s">
        <v>17</v>
      </c>
      <c r="D917" s="3">
        <v>2</v>
      </c>
      <c r="E917" s="4">
        <v>1200</v>
      </c>
      <c r="F917" s="5" t="s">
        <v>13</v>
      </c>
      <c r="G917" s="5" t="s">
        <v>440</v>
      </c>
      <c r="H917" s="1">
        <f t="shared" si="29"/>
        <v>2400</v>
      </c>
    </row>
    <row r="918" spans="1:8" x14ac:dyDescent="0.3">
      <c r="A918" s="2" t="str">
        <f t="shared" si="28"/>
        <v>Mar-2024</v>
      </c>
      <c r="B918" s="2">
        <v>45373.084056041669</v>
      </c>
      <c r="C918" s="5" t="s">
        <v>36</v>
      </c>
      <c r="D918" s="3">
        <v>5</v>
      </c>
      <c r="E918" s="4">
        <v>3500</v>
      </c>
      <c r="F918" s="5" t="s">
        <v>13</v>
      </c>
      <c r="G918" s="5" t="s">
        <v>144</v>
      </c>
      <c r="H918" s="1">
        <f t="shared" si="29"/>
        <v>17500</v>
      </c>
    </row>
    <row r="919" spans="1:8" x14ac:dyDescent="0.3">
      <c r="A919" s="2" t="str">
        <f t="shared" si="28"/>
        <v>Mar-2024</v>
      </c>
      <c r="B919" s="2">
        <v>45373.571047361111</v>
      </c>
      <c r="C919" s="5" t="s">
        <v>26</v>
      </c>
      <c r="D919" s="3">
        <v>6</v>
      </c>
      <c r="E919" s="4">
        <v>1200</v>
      </c>
      <c r="F919" s="5" t="s">
        <v>7</v>
      </c>
      <c r="G919" s="5" t="s">
        <v>69</v>
      </c>
      <c r="H919" s="1">
        <f t="shared" si="29"/>
        <v>7200</v>
      </c>
    </row>
    <row r="920" spans="1:8" x14ac:dyDescent="0.3">
      <c r="A920" s="2" t="str">
        <f t="shared" si="28"/>
        <v>Mar-2024</v>
      </c>
      <c r="B920" s="2">
        <v>45374.058038692128</v>
      </c>
      <c r="C920" s="5" t="s">
        <v>17</v>
      </c>
      <c r="D920" s="3">
        <v>4</v>
      </c>
      <c r="E920" s="4">
        <v>1200</v>
      </c>
      <c r="F920" s="5" t="s">
        <v>7</v>
      </c>
      <c r="G920" s="5" t="s">
        <v>139</v>
      </c>
      <c r="H920" s="1">
        <f t="shared" si="29"/>
        <v>4800</v>
      </c>
    </row>
    <row r="921" spans="1:8" x14ac:dyDescent="0.3">
      <c r="A921" s="2" t="str">
        <f t="shared" si="28"/>
        <v>Mar-2024</v>
      </c>
      <c r="B921" s="2">
        <v>45374.545030023146</v>
      </c>
      <c r="C921" s="5" t="s">
        <v>9</v>
      </c>
      <c r="D921" s="3">
        <v>5</v>
      </c>
      <c r="E921" s="4">
        <v>450</v>
      </c>
      <c r="F921" s="5" t="s">
        <v>13</v>
      </c>
      <c r="G921" s="5" t="s">
        <v>441</v>
      </c>
      <c r="H921" s="1">
        <f t="shared" si="29"/>
        <v>2250</v>
      </c>
    </row>
    <row r="922" spans="1:8" x14ac:dyDescent="0.3">
      <c r="A922" s="2" t="str">
        <f t="shared" si="28"/>
        <v>Mar-2024</v>
      </c>
      <c r="B922" s="2">
        <v>45375.032021342595</v>
      </c>
      <c r="C922" s="5" t="s">
        <v>12</v>
      </c>
      <c r="D922" s="3">
        <v>1</v>
      </c>
      <c r="E922" s="4">
        <v>3500</v>
      </c>
      <c r="F922" s="5" t="s">
        <v>7</v>
      </c>
      <c r="G922" s="5" t="s">
        <v>114</v>
      </c>
      <c r="H922" s="1">
        <f t="shared" si="29"/>
        <v>3500</v>
      </c>
    </row>
    <row r="923" spans="1:8" x14ac:dyDescent="0.3">
      <c r="A923" s="2" t="str">
        <f t="shared" si="28"/>
        <v>Mar-2024</v>
      </c>
      <c r="B923" s="2">
        <v>45375.519012673612</v>
      </c>
      <c r="C923" s="5" t="s">
        <v>36</v>
      </c>
      <c r="D923" s="3">
        <v>4</v>
      </c>
      <c r="E923" s="4">
        <v>450</v>
      </c>
      <c r="F923" s="5" t="s">
        <v>24</v>
      </c>
      <c r="G923" s="5" t="s">
        <v>442</v>
      </c>
      <c r="H923" s="1">
        <f t="shared" si="29"/>
        <v>1800</v>
      </c>
    </row>
    <row r="924" spans="1:8" x14ac:dyDescent="0.3">
      <c r="A924" s="2" t="str">
        <f t="shared" si="28"/>
        <v>Mar-2024</v>
      </c>
      <c r="B924" s="2">
        <v>45376.00600400463</v>
      </c>
      <c r="C924" s="5" t="s">
        <v>17</v>
      </c>
      <c r="D924" s="3">
        <v>3</v>
      </c>
      <c r="E924" s="4">
        <v>1200</v>
      </c>
      <c r="F924" s="5" t="s">
        <v>7</v>
      </c>
      <c r="G924" s="5" t="s">
        <v>278</v>
      </c>
      <c r="H924" s="1">
        <f t="shared" si="29"/>
        <v>3600</v>
      </c>
    </row>
    <row r="925" spans="1:8" x14ac:dyDescent="0.3">
      <c r="A925" s="2" t="str">
        <f t="shared" si="28"/>
        <v>Mar-2024</v>
      </c>
      <c r="B925" s="2">
        <v>45376.492995335648</v>
      </c>
      <c r="C925" s="5" t="s">
        <v>36</v>
      </c>
      <c r="D925" s="3">
        <v>1</v>
      </c>
      <c r="E925" s="4">
        <v>3500</v>
      </c>
      <c r="F925" s="5" t="s">
        <v>7</v>
      </c>
      <c r="G925" s="5" t="s">
        <v>426</v>
      </c>
      <c r="H925" s="1">
        <f t="shared" si="29"/>
        <v>3500</v>
      </c>
    </row>
    <row r="926" spans="1:8" x14ac:dyDescent="0.3">
      <c r="A926" s="2" t="str">
        <f t="shared" si="28"/>
        <v>Mar-2024</v>
      </c>
      <c r="B926" s="2">
        <v>45376.979986655089</v>
      </c>
      <c r="C926" s="5" t="s">
        <v>36</v>
      </c>
      <c r="D926" s="3">
        <v>1</v>
      </c>
      <c r="E926" s="4">
        <v>1200</v>
      </c>
      <c r="F926" s="5" t="s">
        <v>13</v>
      </c>
      <c r="G926" s="5" t="s">
        <v>406</v>
      </c>
      <c r="H926" s="1">
        <f t="shared" si="29"/>
        <v>1200</v>
      </c>
    </row>
    <row r="927" spans="1:8" x14ac:dyDescent="0.3">
      <c r="A927" s="2" t="str">
        <f t="shared" si="28"/>
        <v>Mar-2024</v>
      </c>
      <c r="B927" s="2">
        <v>45377.466977986114</v>
      </c>
      <c r="C927" s="5" t="s">
        <v>26</v>
      </c>
      <c r="D927" s="3">
        <v>3</v>
      </c>
      <c r="E927" s="4">
        <v>1800</v>
      </c>
      <c r="F927" s="5" t="s">
        <v>10</v>
      </c>
      <c r="G927" s="5" t="s">
        <v>54</v>
      </c>
      <c r="H927" s="1">
        <f t="shared" si="29"/>
        <v>5400</v>
      </c>
    </row>
    <row r="928" spans="1:8" x14ac:dyDescent="0.3">
      <c r="A928" s="2" t="str">
        <f t="shared" si="28"/>
        <v>Mar-2024</v>
      </c>
      <c r="B928" s="2">
        <v>45377.953969317132</v>
      </c>
      <c r="C928" s="5" t="s">
        <v>26</v>
      </c>
      <c r="D928" s="3">
        <v>6</v>
      </c>
      <c r="E928" s="4">
        <v>3500</v>
      </c>
      <c r="F928" s="5" t="s">
        <v>10</v>
      </c>
      <c r="G928" s="5" t="s">
        <v>443</v>
      </c>
      <c r="H928" s="1">
        <f t="shared" si="29"/>
        <v>21000</v>
      </c>
    </row>
    <row r="929" spans="1:8" x14ac:dyDescent="0.3">
      <c r="A929" s="2" t="str">
        <f t="shared" si="28"/>
        <v>Mar-2024</v>
      </c>
      <c r="B929" s="2">
        <v>45378.440960636573</v>
      </c>
      <c r="C929" s="5" t="s">
        <v>12</v>
      </c>
      <c r="D929" s="3">
        <v>1</v>
      </c>
      <c r="E929" s="4">
        <v>3500</v>
      </c>
      <c r="F929" s="5" t="s">
        <v>10</v>
      </c>
      <c r="G929" s="5" t="s">
        <v>396</v>
      </c>
      <c r="H929" s="1">
        <f t="shared" si="29"/>
        <v>3500</v>
      </c>
    </row>
    <row r="930" spans="1:8" x14ac:dyDescent="0.3">
      <c r="A930" s="2" t="str">
        <f t="shared" si="28"/>
        <v>Mar-2024</v>
      </c>
      <c r="B930" s="2">
        <v>45378.927951967591</v>
      </c>
      <c r="C930" s="5" t="s">
        <v>9</v>
      </c>
      <c r="D930" s="3">
        <v>4</v>
      </c>
      <c r="E930" s="4">
        <v>1200</v>
      </c>
      <c r="F930" s="5" t="s">
        <v>24</v>
      </c>
      <c r="G930" s="5" t="s">
        <v>327</v>
      </c>
      <c r="H930" s="1">
        <f t="shared" si="29"/>
        <v>4800</v>
      </c>
    </row>
    <row r="931" spans="1:8" x14ac:dyDescent="0.3">
      <c r="A931" s="2" t="str">
        <f t="shared" si="28"/>
        <v>Mar-2024</v>
      </c>
      <c r="B931" s="2">
        <v>45379.414943298609</v>
      </c>
      <c r="C931" s="5" t="s">
        <v>36</v>
      </c>
      <c r="D931" s="3">
        <v>5</v>
      </c>
      <c r="E931" s="4">
        <v>1800</v>
      </c>
      <c r="F931" s="5" t="s">
        <v>7</v>
      </c>
      <c r="G931" s="5" t="s">
        <v>350</v>
      </c>
      <c r="H931" s="1">
        <f t="shared" si="29"/>
        <v>9000</v>
      </c>
    </row>
    <row r="932" spans="1:8" x14ac:dyDescent="0.3">
      <c r="A932" s="2" t="str">
        <f t="shared" si="28"/>
        <v>Mar-2024</v>
      </c>
      <c r="B932" s="2">
        <v>45379.901934618058</v>
      </c>
      <c r="C932" s="5" t="s">
        <v>17</v>
      </c>
      <c r="D932" s="3">
        <v>1</v>
      </c>
      <c r="E932" s="4">
        <v>700</v>
      </c>
      <c r="F932" s="5" t="s">
        <v>10</v>
      </c>
      <c r="G932" s="5" t="s">
        <v>444</v>
      </c>
      <c r="H932" s="1">
        <f t="shared" si="29"/>
        <v>700</v>
      </c>
    </row>
    <row r="933" spans="1:8" x14ac:dyDescent="0.3">
      <c r="A933" s="2" t="str">
        <f t="shared" si="28"/>
        <v>Mar-2024</v>
      </c>
      <c r="B933" s="2">
        <v>45380.388925949075</v>
      </c>
      <c r="C933" s="5" t="s">
        <v>6</v>
      </c>
      <c r="D933" s="3">
        <v>4</v>
      </c>
      <c r="E933" s="4">
        <v>450</v>
      </c>
      <c r="F933" s="5" t="s">
        <v>13</v>
      </c>
      <c r="G933" s="5" t="s">
        <v>441</v>
      </c>
      <c r="H933" s="1">
        <f t="shared" si="29"/>
        <v>1800</v>
      </c>
    </row>
    <row r="934" spans="1:8" x14ac:dyDescent="0.3">
      <c r="A934" s="2" t="str">
        <f t="shared" si="28"/>
        <v>Mar-2024</v>
      </c>
      <c r="B934" s="2">
        <v>45380.875917280093</v>
      </c>
      <c r="C934" s="5" t="s">
        <v>36</v>
      </c>
      <c r="D934" s="3">
        <v>2</v>
      </c>
      <c r="E934" s="4">
        <v>1200</v>
      </c>
      <c r="F934" s="5" t="s">
        <v>10</v>
      </c>
      <c r="G934" s="5" t="s">
        <v>266</v>
      </c>
      <c r="H934" s="1">
        <f t="shared" si="29"/>
        <v>2400</v>
      </c>
    </row>
    <row r="935" spans="1:8" x14ac:dyDescent="0.3">
      <c r="A935" s="2" t="str">
        <f t="shared" si="28"/>
        <v>Mar-2024</v>
      </c>
      <c r="B935" s="2">
        <v>45381.36290861111</v>
      </c>
      <c r="C935" s="5" t="s">
        <v>36</v>
      </c>
      <c r="D935" s="3">
        <v>4</v>
      </c>
      <c r="E935" s="4">
        <v>3500</v>
      </c>
      <c r="F935" s="5" t="s">
        <v>10</v>
      </c>
      <c r="G935" s="5" t="s">
        <v>247</v>
      </c>
      <c r="H935" s="1">
        <f t="shared" si="29"/>
        <v>14000</v>
      </c>
    </row>
    <row r="936" spans="1:8" x14ac:dyDescent="0.3">
      <c r="A936" s="2" t="str">
        <f t="shared" si="28"/>
        <v>Mar-2024</v>
      </c>
      <c r="B936" s="2">
        <v>45381.849899930552</v>
      </c>
      <c r="C936" s="5" t="s">
        <v>12</v>
      </c>
      <c r="D936" s="3">
        <v>5</v>
      </c>
      <c r="E936" s="4">
        <v>450</v>
      </c>
      <c r="F936" s="5" t="s">
        <v>7</v>
      </c>
      <c r="G936" s="5" t="s">
        <v>185</v>
      </c>
      <c r="H936" s="1">
        <f t="shared" si="29"/>
        <v>2250</v>
      </c>
    </row>
    <row r="937" spans="1:8" x14ac:dyDescent="0.3">
      <c r="A937" s="2" t="str">
        <f t="shared" si="28"/>
        <v>Mar-2024</v>
      </c>
      <c r="B937" s="2">
        <v>45382.336891261577</v>
      </c>
      <c r="C937" s="5" t="s">
        <v>9</v>
      </c>
      <c r="D937" s="3">
        <v>4</v>
      </c>
      <c r="E937" s="4">
        <v>450</v>
      </c>
      <c r="F937" s="5" t="s">
        <v>7</v>
      </c>
      <c r="G937" s="5" t="s">
        <v>428</v>
      </c>
      <c r="H937" s="1">
        <f t="shared" si="29"/>
        <v>1800</v>
      </c>
    </row>
    <row r="938" spans="1:8" x14ac:dyDescent="0.3">
      <c r="A938" s="2" t="str">
        <f t="shared" si="28"/>
        <v>Mar-2024</v>
      </c>
      <c r="B938" s="2">
        <v>45382.823882592595</v>
      </c>
      <c r="C938" s="5" t="s">
        <v>6</v>
      </c>
      <c r="D938" s="3">
        <v>3</v>
      </c>
      <c r="E938" s="4">
        <v>450</v>
      </c>
      <c r="F938" s="5" t="s">
        <v>7</v>
      </c>
      <c r="G938" s="5" t="s">
        <v>144</v>
      </c>
      <c r="H938" s="1">
        <f t="shared" si="29"/>
        <v>1350</v>
      </c>
    </row>
    <row r="939" spans="1:8" x14ac:dyDescent="0.3">
      <c r="A939" s="2" t="str">
        <f t="shared" si="28"/>
        <v>Apr-2024</v>
      </c>
      <c r="B939" s="2">
        <v>45383.310873912036</v>
      </c>
      <c r="C939" s="5" t="s">
        <v>26</v>
      </c>
      <c r="D939" s="3">
        <v>5</v>
      </c>
      <c r="E939" s="4">
        <v>700</v>
      </c>
      <c r="F939" s="5" t="s">
        <v>24</v>
      </c>
      <c r="G939" s="5" t="s">
        <v>329</v>
      </c>
      <c r="H939" s="1">
        <f t="shared" si="29"/>
        <v>3500</v>
      </c>
    </row>
    <row r="940" spans="1:8" x14ac:dyDescent="0.3">
      <c r="A940" s="2" t="str">
        <f t="shared" si="28"/>
        <v>Apr-2024</v>
      </c>
      <c r="B940" s="2">
        <v>45383.797865243054</v>
      </c>
      <c r="C940" s="5" t="s">
        <v>26</v>
      </c>
      <c r="D940" s="3">
        <v>6</v>
      </c>
      <c r="E940" s="4">
        <v>150</v>
      </c>
      <c r="F940" s="5" t="s">
        <v>24</v>
      </c>
      <c r="G940" s="5" t="s">
        <v>445</v>
      </c>
      <c r="H940" s="1">
        <f t="shared" si="29"/>
        <v>900</v>
      </c>
    </row>
    <row r="941" spans="1:8" x14ac:dyDescent="0.3">
      <c r="A941" s="2" t="str">
        <f t="shared" si="28"/>
        <v>Apr-2024</v>
      </c>
      <c r="B941" s="2">
        <v>45384.284856574071</v>
      </c>
      <c r="C941" s="5" t="s">
        <v>17</v>
      </c>
      <c r="D941" s="3">
        <v>2</v>
      </c>
      <c r="E941" s="4">
        <v>1200</v>
      </c>
      <c r="F941" s="5" t="s">
        <v>10</v>
      </c>
      <c r="G941" s="5" t="s">
        <v>119</v>
      </c>
      <c r="H941" s="1">
        <f t="shared" si="29"/>
        <v>2400</v>
      </c>
    </row>
    <row r="942" spans="1:8" x14ac:dyDescent="0.3">
      <c r="A942" s="2" t="str">
        <f t="shared" si="28"/>
        <v>Apr-2024</v>
      </c>
      <c r="B942" s="2">
        <v>45384.77184789352</v>
      </c>
      <c r="C942" s="5" t="s">
        <v>6</v>
      </c>
      <c r="D942" s="3">
        <v>3</v>
      </c>
      <c r="E942" s="4">
        <v>150</v>
      </c>
      <c r="F942" s="5" t="s">
        <v>7</v>
      </c>
      <c r="G942" s="5" t="s">
        <v>165</v>
      </c>
      <c r="H942" s="1">
        <f t="shared" si="29"/>
        <v>450</v>
      </c>
    </row>
    <row r="943" spans="1:8" x14ac:dyDescent="0.3">
      <c r="A943" s="2" t="str">
        <f t="shared" si="28"/>
        <v>Apr-2024</v>
      </c>
      <c r="B943" s="2">
        <v>45385.258839224538</v>
      </c>
      <c r="C943" s="5" t="s">
        <v>26</v>
      </c>
      <c r="D943" s="3">
        <v>6</v>
      </c>
      <c r="E943" s="4">
        <v>150</v>
      </c>
      <c r="F943" s="5" t="s">
        <v>10</v>
      </c>
      <c r="G943" s="5" t="s">
        <v>169</v>
      </c>
      <c r="H943" s="1">
        <f t="shared" si="29"/>
        <v>900</v>
      </c>
    </row>
    <row r="944" spans="1:8" x14ac:dyDescent="0.3">
      <c r="A944" s="2" t="str">
        <f t="shared" si="28"/>
        <v>Apr-2024</v>
      </c>
      <c r="B944" s="2">
        <v>45385.745830555556</v>
      </c>
      <c r="C944" s="5" t="s">
        <v>17</v>
      </c>
      <c r="D944" s="3">
        <v>4</v>
      </c>
      <c r="E944" s="4">
        <v>150</v>
      </c>
      <c r="F944" s="5" t="s">
        <v>13</v>
      </c>
      <c r="G944" s="5" t="s">
        <v>437</v>
      </c>
      <c r="H944" s="1">
        <f t="shared" si="29"/>
        <v>600</v>
      </c>
    </row>
    <row r="945" spans="1:8" x14ac:dyDescent="0.3">
      <c r="A945" s="2" t="str">
        <f t="shared" si="28"/>
        <v>Apr-2024</v>
      </c>
      <c r="B945" s="2">
        <v>45386.232821886573</v>
      </c>
      <c r="C945" s="5" t="s">
        <v>9</v>
      </c>
      <c r="D945" s="3">
        <v>5</v>
      </c>
      <c r="E945" s="4">
        <v>450</v>
      </c>
      <c r="F945" s="5" t="s">
        <v>13</v>
      </c>
      <c r="G945" s="5" t="s">
        <v>419</v>
      </c>
      <c r="H945" s="1">
        <f t="shared" si="29"/>
        <v>2250</v>
      </c>
    </row>
    <row r="946" spans="1:8" x14ac:dyDescent="0.3">
      <c r="A946" s="2" t="str">
        <f t="shared" si="28"/>
        <v>Apr-2024</v>
      </c>
      <c r="B946" s="2">
        <v>45386.719813206022</v>
      </c>
      <c r="C946" s="5" t="s">
        <v>17</v>
      </c>
      <c r="D946" s="3">
        <v>2</v>
      </c>
      <c r="E946" s="4">
        <v>1800</v>
      </c>
      <c r="F946" s="5" t="s">
        <v>7</v>
      </c>
      <c r="G946" s="5" t="s">
        <v>446</v>
      </c>
      <c r="H946" s="1">
        <f t="shared" si="29"/>
        <v>3600</v>
      </c>
    </row>
    <row r="947" spans="1:8" x14ac:dyDescent="0.3">
      <c r="A947" s="2" t="str">
        <f t="shared" si="28"/>
        <v>Apr-2024</v>
      </c>
      <c r="B947" s="2">
        <v>45387.20680453704</v>
      </c>
      <c r="C947" s="5" t="s">
        <v>26</v>
      </c>
      <c r="D947" s="3">
        <v>3</v>
      </c>
      <c r="E947" s="4">
        <v>450</v>
      </c>
      <c r="F947" s="5" t="s">
        <v>7</v>
      </c>
      <c r="G947" s="5" t="s">
        <v>341</v>
      </c>
      <c r="H947" s="1">
        <f t="shared" si="29"/>
        <v>1350</v>
      </c>
    </row>
    <row r="948" spans="1:8" x14ac:dyDescent="0.3">
      <c r="A948" s="2" t="str">
        <f t="shared" si="28"/>
        <v>Apr-2024</v>
      </c>
      <c r="B948" s="2">
        <v>45387.693795868057</v>
      </c>
      <c r="C948" s="5" t="s">
        <v>12</v>
      </c>
      <c r="D948" s="3">
        <v>6</v>
      </c>
      <c r="E948" s="4">
        <v>450</v>
      </c>
      <c r="F948" s="5" t="s">
        <v>13</v>
      </c>
      <c r="G948" s="5" t="s">
        <v>59</v>
      </c>
      <c r="H948" s="1">
        <f t="shared" si="29"/>
        <v>2700</v>
      </c>
    </row>
    <row r="949" spans="1:8" x14ac:dyDescent="0.3">
      <c r="A949" s="2" t="str">
        <f t="shared" si="28"/>
        <v>Apr-2024</v>
      </c>
      <c r="B949" s="2">
        <v>45388.180787187499</v>
      </c>
      <c r="C949" s="5" t="s">
        <v>12</v>
      </c>
      <c r="D949" s="3">
        <v>6</v>
      </c>
      <c r="E949" s="4">
        <v>3500</v>
      </c>
      <c r="F949" s="5" t="s">
        <v>7</v>
      </c>
      <c r="G949" s="5" t="s">
        <v>30</v>
      </c>
      <c r="H949" s="1">
        <f t="shared" si="29"/>
        <v>21000</v>
      </c>
    </row>
    <row r="950" spans="1:8" x14ac:dyDescent="0.3">
      <c r="A950" s="2" t="str">
        <f t="shared" si="28"/>
        <v>Apr-2024</v>
      </c>
      <c r="B950" s="2">
        <v>45388.667778518517</v>
      </c>
      <c r="C950" s="5" t="s">
        <v>12</v>
      </c>
      <c r="D950" s="3">
        <v>2</v>
      </c>
      <c r="E950" s="4">
        <v>3500</v>
      </c>
      <c r="F950" s="5" t="s">
        <v>24</v>
      </c>
      <c r="G950" s="5" t="s">
        <v>130</v>
      </c>
      <c r="H950" s="1">
        <f t="shared" si="29"/>
        <v>7000</v>
      </c>
    </row>
    <row r="951" spans="1:8" x14ac:dyDescent="0.3">
      <c r="A951" s="2" t="str">
        <f t="shared" si="28"/>
        <v>Apr-2024</v>
      </c>
      <c r="B951" s="2">
        <v>45389.154769849534</v>
      </c>
      <c r="C951" s="5" t="s">
        <v>26</v>
      </c>
      <c r="D951" s="3">
        <v>4</v>
      </c>
      <c r="E951" s="4">
        <v>150</v>
      </c>
      <c r="F951" s="5" t="s">
        <v>24</v>
      </c>
      <c r="G951" s="5" t="s">
        <v>322</v>
      </c>
      <c r="H951" s="1">
        <f t="shared" si="29"/>
        <v>600</v>
      </c>
    </row>
    <row r="952" spans="1:8" x14ac:dyDescent="0.3">
      <c r="A952" s="2" t="str">
        <f t="shared" si="28"/>
        <v>Apr-2024</v>
      </c>
      <c r="B952" s="2">
        <v>45389.641761168983</v>
      </c>
      <c r="C952" s="5" t="s">
        <v>12</v>
      </c>
      <c r="D952" s="3">
        <v>2</v>
      </c>
      <c r="E952" s="4">
        <v>450</v>
      </c>
      <c r="F952" s="5" t="s">
        <v>7</v>
      </c>
      <c r="G952" s="5" t="s">
        <v>241</v>
      </c>
      <c r="H952" s="1">
        <f t="shared" si="29"/>
        <v>900</v>
      </c>
    </row>
    <row r="953" spans="1:8" x14ac:dyDescent="0.3">
      <c r="A953" s="2" t="str">
        <f t="shared" si="28"/>
        <v>Apr-2024</v>
      </c>
      <c r="B953" s="2">
        <v>45390.128752500001</v>
      </c>
      <c r="C953" s="5" t="s">
        <v>6</v>
      </c>
      <c r="D953" s="3">
        <v>6</v>
      </c>
      <c r="E953" s="4">
        <v>150</v>
      </c>
      <c r="F953" s="5" t="s">
        <v>13</v>
      </c>
      <c r="G953" s="5" t="s">
        <v>141</v>
      </c>
      <c r="H953" s="1">
        <f t="shared" si="29"/>
        <v>900</v>
      </c>
    </row>
    <row r="954" spans="1:8" x14ac:dyDescent="0.3">
      <c r="A954" s="2" t="str">
        <f t="shared" si="28"/>
        <v>Apr-2024</v>
      </c>
      <c r="B954" s="2">
        <v>45390.615743831018</v>
      </c>
      <c r="C954" s="5" t="s">
        <v>9</v>
      </c>
      <c r="D954" s="3">
        <v>1</v>
      </c>
      <c r="E954" s="4">
        <v>3500</v>
      </c>
      <c r="F954" s="5" t="s">
        <v>10</v>
      </c>
      <c r="G954" s="5" t="s">
        <v>447</v>
      </c>
      <c r="H954" s="1">
        <f t="shared" si="29"/>
        <v>3500</v>
      </c>
    </row>
    <row r="955" spans="1:8" x14ac:dyDescent="0.3">
      <c r="A955" s="2" t="str">
        <f t="shared" si="28"/>
        <v>Apr-2024</v>
      </c>
      <c r="B955" s="2">
        <v>45391.102735162036</v>
      </c>
      <c r="C955" s="5" t="s">
        <v>17</v>
      </c>
      <c r="D955" s="3">
        <v>3</v>
      </c>
      <c r="E955" s="4">
        <v>1800</v>
      </c>
      <c r="F955" s="5" t="s">
        <v>7</v>
      </c>
      <c r="G955" s="5" t="s">
        <v>208</v>
      </c>
      <c r="H955" s="1">
        <f t="shared" si="29"/>
        <v>5400</v>
      </c>
    </row>
    <row r="956" spans="1:8" x14ac:dyDescent="0.3">
      <c r="A956" s="2" t="str">
        <f t="shared" si="28"/>
        <v>Apr-2024</v>
      </c>
      <c r="B956" s="2">
        <v>45391.589726481485</v>
      </c>
      <c r="C956" s="5" t="s">
        <v>17</v>
      </c>
      <c r="D956" s="3">
        <v>2</v>
      </c>
      <c r="E956" s="4">
        <v>1200</v>
      </c>
      <c r="F956" s="5" t="s">
        <v>7</v>
      </c>
      <c r="G956" s="5" t="s">
        <v>205</v>
      </c>
      <c r="H956" s="1">
        <f t="shared" si="29"/>
        <v>2400</v>
      </c>
    </row>
    <row r="957" spans="1:8" x14ac:dyDescent="0.3">
      <c r="A957" s="2" t="str">
        <f t="shared" si="28"/>
        <v>Apr-2024</v>
      </c>
      <c r="B957" s="2">
        <v>45392.076717812502</v>
      </c>
      <c r="C957" s="5" t="s">
        <v>26</v>
      </c>
      <c r="D957" s="3">
        <v>6</v>
      </c>
      <c r="E957" s="4">
        <v>150</v>
      </c>
      <c r="F957" s="5" t="s">
        <v>10</v>
      </c>
      <c r="G957" s="5" t="s">
        <v>281</v>
      </c>
      <c r="H957" s="1">
        <f t="shared" si="29"/>
        <v>900</v>
      </c>
    </row>
    <row r="958" spans="1:8" x14ac:dyDescent="0.3">
      <c r="A958" s="2" t="str">
        <f t="shared" si="28"/>
        <v>Apr-2024</v>
      </c>
      <c r="B958" s="2">
        <v>45392.56370914352</v>
      </c>
      <c r="C958" s="5" t="s">
        <v>12</v>
      </c>
      <c r="D958" s="3">
        <v>4</v>
      </c>
      <c r="E958" s="4">
        <v>1800</v>
      </c>
      <c r="F958" s="5" t="s">
        <v>7</v>
      </c>
      <c r="G958" s="5" t="s">
        <v>376</v>
      </c>
      <c r="H958" s="1">
        <f t="shared" si="29"/>
        <v>7200</v>
      </c>
    </row>
    <row r="959" spans="1:8" x14ac:dyDescent="0.3">
      <c r="A959" s="2" t="str">
        <f t="shared" si="28"/>
        <v>Apr-2024</v>
      </c>
      <c r="B959" s="2">
        <v>45393.050700462962</v>
      </c>
      <c r="C959" s="5" t="s">
        <v>12</v>
      </c>
      <c r="D959" s="3">
        <v>6</v>
      </c>
      <c r="E959" s="4">
        <v>1200</v>
      </c>
      <c r="F959" s="5" t="s">
        <v>10</v>
      </c>
      <c r="G959" s="5" t="s">
        <v>305</v>
      </c>
      <c r="H959" s="1">
        <f t="shared" si="29"/>
        <v>7200</v>
      </c>
    </row>
    <row r="960" spans="1:8" x14ac:dyDescent="0.3">
      <c r="A960" s="2" t="str">
        <f t="shared" si="28"/>
        <v>Apr-2024</v>
      </c>
      <c r="B960" s="2">
        <v>45393.537691793979</v>
      </c>
      <c r="C960" s="5" t="s">
        <v>36</v>
      </c>
      <c r="D960" s="3">
        <v>4</v>
      </c>
      <c r="E960" s="4">
        <v>700</v>
      </c>
      <c r="F960" s="5" t="s">
        <v>13</v>
      </c>
      <c r="G960" s="5" t="s">
        <v>39</v>
      </c>
      <c r="H960" s="1">
        <f t="shared" si="29"/>
        <v>2800</v>
      </c>
    </row>
    <row r="961" spans="1:8" x14ac:dyDescent="0.3">
      <c r="A961" s="2" t="str">
        <f t="shared" si="28"/>
        <v>Apr-2024</v>
      </c>
      <c r="B961" s="2">
        <v>45394.024683124997</v>
      </c>
      <c r="C961" s="5" t="s">
        <v>9</v>
      </c>
      <c r="D961" s="3">
        <v>2</v>
      </c>
      <c r="E961" s="4">
        <v>150</v>
      </c>
      <c r="F961" s="5" t="s">
        <v>24</v>
      </c>
      <c r="G961" s="5" t="s">
        <v>210</v>
      </c>
      <c r="H961" s="1">
        <f t="shared" si="29"/>
        <v>300</v>
      </c>
    </row>
    <row r="962" spans="1:8" x14ac:dyDescent="0.3">
      <c r="A962" s="2" t="str">
        <f t="shared" si="28"/>
        <v>Apr-2024</v>
      </c>
      <c r="B962" s="2">
        <v>45394.511674444446</v>
      </c>
      <c r="C962" s="5" t="s">
        <v>6</v>
      </c>
      <c r="D962" s="3">
        <v>4</v>
      </c>
      <c r="E962" s="4">
        <v>150</v>
      </c>
      <c r="F962" s="5" t="s">
        <v>13</v>
      </c>
      <c r="G962" s="5" t="s">
        <v>269</v>
      </c>
      <c r="H962" s="1">
        <f t="shared" si="29"/>
        <v>600</v>
      </c>
    </row>
    <row r="963" spans="1:8" x14ac:dyDescent="0.3">
      <c r="A963" s="2" t="str">
        <f t="shared" ref="A963:A1026" si="30">TEXT(B963, "mmm-yyyy")</f>
        <v>Apr-2024</v>
      </c>
      <c r="B963" s="2">
        <v>45394.998665775463</v>
      </c>
      <c r="C963" s="5" t="s">
        <v>17</v>
      </c>
      <c r="D963" s="3">
        <v>5</v>
      </c>
      <c r="E963" s="4">
        <v>700</v>
      </c>
      <c r="F963" s="5" t="s">
        <v>24</v>
      </c>
      <c r="G963" s="5" t="s">
        <v>59</v>
      </c>
      <c r="H963" s="1">
        <f t="shared" ref="H963:H1026" si="31" xml:space="preserve"> D963 * E963</f>
        <v>3500</v>
      </c>
    </row>
    <row r="964" spans="1:8" x14ac:dyDescent="0.3">
      <c r="A964" s="2" t="str">
        <f t="shared" si="30"/>
        <v>Apr-2024</v>
      </c>
      <c r="B964" s="2">
        <v>45395.485657106481</v>
      </c>
      <c r="C964" s="5" t="s">
        <v>36</v>
      </c>
      <c r="D964" s="3">
        <v>5</v>
      </c>
      <c r="E964" s="4">
        <v>700</v>
      </c>
      <c r="F964" s="5" t="s">
        <v>10</v>
      </c>
      <c r="G964" s="5" t="s">
        <v>141</v>
      </c>
      <c r="H964" s="1">
        <f t="shared" si="31"/>
        <v>3500</v>
      </c>
    </row>
    <row r="965" spans="1:8" x14ac:dyDescent="0.3">
      <c r="A965" s="2" t="str">
        <f t="shared" si="30"/>
        <v>Apr-2024</v>
      </c>
      <c r="B965" s="2">
        <v>45395.972648437499</v>
      </c>
      <c r="C965" s="5" t="s">
        <v>36</v>
      </c>
      <c r="D965" s="3">
        <v>5</v>
      </c>
      <c r="E965" s="4">
        <v>150</v>
      </c>
      <c r="F965" s="5" t="s">
        <v>24</v>
      </c>
      <c r="G965" s="5" t="s">
        <v>407</v>
      </c>
      <c r="H965" s="1">
        <f t="shared" si="31"/>
        <v>750</v>
      </c>
    </row>
    <row r="966" spans="1:8" x14ac:dyDescent="0.3">
      <c r="A966" s="2" t="str">
        <f t="shared" si="30"/>
        <v>Apr-2024</v>
      </c>
      <c r="B966" s="2">
        <v>45396.459639756948</v>
      </c>
      <c r="C966" s="5" t="s">
        <v>26</v>
      </c>
      <c r="D966" s="3">
        <v>1</v>
      </c>
      <c r="E966" s="4">
        <v>700</v>
      </c>
      <c r="F966" s="5" t="s">
        <v>13</v>
      </c>
      <c r="G966" s="5" t="s">
        <v>408</v>
      </c>
      <c r="H966" s="1">
        <f t="shared" si="31"/>
        <v>700</v>
      </c>
    </row>
    <row r="967" spans="1:8" x14ac:dyDescent="0.3">
      <c r="A967" s="2" t="str">
        <f t="shared" si="30"/>
        <v>Apr-2024</v>
      </c>
      <c r="B967" s="2">
        <v>45396.946631087965</v>
      </c>
      <c r="C967" s="5" t="s">
        <v>17</v>
      </c>
      <c r="D967" s="3">
        <v>2</v>
      </c>
      <c r="E967" s="4">
        <v>450</v>
      </c>
      <c r="F967" s="5" t="s">
        <v>24</v>
      </c>
      <c r="G967" s="5" t="s">
        <v>448</v>
      </c>
      <c r="H967" s="1">
        <f t="shared" si="31"/>
        <v>900</v>
      </c>
    </row>
    <row r="968" spans="1:8" x14ac:dyDescent="0.3">
      <c r="A968" s="2" t="str">
        <f t="shared" si="30"/>
        <v>Apr-2024</v>
      </c>
      <c r="B968" s="2">
        <v>45397.433622418983</v>
      </c>
      <c r="C968" s="5" t="s">
        <v>26</v>
      </c>
      <c r="D968" s="3">
        <v>6</v>
      </c>
      <c r="E968" s="4">
        <v>1200</v>
      </c>
      <c r="F968" s="5" t="s">
        <v>10</v>
      </c>
      <c r="G968" s="5" t="s">
        <v>449</v>
      </c>
      <c r="H968" s="1">
        <f t="shared" si="31"/>
        <v>7200</v>
      </c>
    </row>
    <row r="969" spans="1:8" x14ac:dyDescent="0.3">
      <c r="A969" s="2" t="str">
        <f t="shared" si="30"/>
        <v>Apr-2024</v>
      </c>
      <c r="B969" s="2">
        <v>45397.920613738424</v>
      </c>
      <c r="C969" s="5" t="s">
        <v>6</v>
      </c>
      <c r="D969" s="3">
        <v>6</v>
      </c>
      <c r="E969" s="4">
        <v>1200</v>
      </c>
      <c r="F969" s="5" t="s">
        <v>24</v>
      </c>
      <c r="G969" s="5" t="s">
        <v>422</v>
      </c>
      <c r="H969" s="1">
        <f t="shared" si="31"/>
        <v>7200</v>
      </c>
    </row>
    <row r="970" spans="1:8" x14ac:dyDescent="0.3">
      <c r="A970" s="2" t="str">
        <f t="shared" si="30"/>
        <v>Apr-2024</v>
      </c>
      <c r="B970" s="2">
        <v>45398.407605069442</v>
      </c>
      <c r="C970" s="5" t="s">
        <v>36</v>
      </c>
      <c r="D970" s="3">
        <v>1</v>
      </c>
      <c r="E970" s="4">
        <v>1200</v>
      </c>
      <c r="F970" s="5" t="s">
        <v>7</v>
      </c>
      <c r="G970" s="5" t="s">
        <v>166</v>
      </c>
      <c r="H970" s="1">
        <f t="shared" si="31"/>
        <v>1200</v>
      </c>
    </row>
    <row r="971" spans="1:8" x14ac:dyDescent="0.3">
      <c r="A971" s="2" t="str">
        <f t="shared" si="30"/>
        <v>Apr-2024</v>
      </c>
      <c r="B971" s="2">
        <v>45398.89459640046</v>
      </c>
      <c r="C971" s="5" t="s">
        <v>36</v>
      </c>
      <c r="D971" s="3">
        <v>4</v>
      </c>
      <c r="E971" s="4">
        <v>450</v>
      </c>
      <c r="F971" s="5" t="s">
        <v>13</v>
      </c>
      <c r="G971" s="5" t="s">
        <v>214</v>
      </c>
      <c r="H971" s="1">
        <f t="shared" si="31"/>
        <v>1800</v>
      </c>
    </row>
    <row r="972" spans="1:8" x14ac:dyDescent="0.3">
      <c r="A972" s="2" t="str">
        <f t="shared" si="30"/>
        <v>Apr-2024</v>
      </c>
      <c r="B972" s="2">
        <v>45399.381587719909</v>
      </c>
      <c r="C972" s="5" t="s">
        <v>9</v>
      </c>
      <c r="D972" s="3">
        <v>1</v>
      </c>
      <c r="E972" s="4">
        <v>700</v>
      </c>
      <c r="F972" s="5" t="s">
        <v>7</v>
      </c>
      <c r="G972" s="5" t="s">
        <v>147</v>
      </c>
      <c r="H972" s="1">
        <f t="shared" si="31"/>
        <v>700</v>
      </c>
    </row>
    <row r="973" spans="1:8" x14ac:dyDescent="0.3">
      <c r="A973" s="2" t="str">
        <f t="shared" si="30"/>
        <v>Apr-2024</v>
      </c>
      <c r="B973" s="2">
        <v>45399.868579050926</v>
      </c>
      <c r="C973" s="5" t="s">
        <v>6</v>
      </c>
      <c r="D973" s="3">
        <v>4</v>
      </c>
      <c r="E973" s="4">
        <v>1800</v>
      </c>
      <c r="F973" s="5" t="s">
        <v>10</v>
      </c>
      <c r="G973" s="5" t="s">
        <v>450</v>
      </c>
      <c r="H973" s="1">
        <f t="shared" si="31"/>
        <v>7200</v>
      </c>
    </row>
    <row r="974" spans="1:8" x14ac:dyDescent="0.3">
      <c r="A974" s="2" t="str">
        <f t="shared" si="30"/>
        <v>Apr-2024</v>
      </c>
      <c r="B974" s="2">
        <v>45400.355570381944</v>
      </c>
      <c r="C974" s="5" t="s">
        <v>36</v>
      </c>
      <c r="D974" s="3">
        <v>4</v>
      </c>
      <c r="E974" s="4">
        <v>700</v>
      </c>
      <c r="F974" s="5" t="s">
        <v>24</v>
      </c>
      <c r="G974" s="5" t="s">
        <v>401</v>
      </c>
      <c r="H974" s="1">
        <f t="shared" si="31"/>
        <v>2800</v>
      </c>
    </row>
    <row r="975" spans="1:8" x14ac:dyDescent="0.3">
      <c r="A975" s="2" t="str">
        <f t="shared" si="30"/>
        <v>Apr-2024</v>
      </c>
      <c r="B975" s="2">
        <v>45400.842561712961</v>
      </c>
      <c r="C975" s="5" t="s">
        <v>6</v>
      </c>
      <c r="D975" s="3">
        <v>3</v>
      </c>
      <c r="E975" s="4">
        <v>150</v>
      </c>
      <c r="F975" s="5" t="s">
        <v>7</v>
      </c>
      <c r="G975" s="5" t="s">
        <v>38</v>
      </c>
      <c r="H975" s="1">
        <f t="shared" si="31"/>
        <v>450</v>
      </c>
    </row>
    <row r="976" spans="1:8" x14ac:dyDescent="0.3">
      <c r="A976" s="2" t="str">
        <f t="shared" si="30"/>
        <v>Apr-2024</v>
      </c>
      <c r="B976" s="2">
        <v>45401.32955303241</v>
      </c>
      <c r="C976" s="5" t="s">
        <v>17</v>
      </c>
      <c r="D976" s="3">
        <v>6</v>
      </c>
      <c r="E976" s="4">
        <v>3500</v>
      </c>
      <c r="F976" s="5" t="s">
        <v>7</v>
      </c>
      <c r="G976" s="5" t="s">
        <v>317</v>
      </c>
      <c r="H976" s="1">
        <f t="shared" si="31"/>
        <v>21000</v>
      </c>
    </row>
    <row r="977" spans="1:8" x14ac:dyDescent="0.3">
      <c r="A977" s="2" t="str">
        <f t="shared" si="30"/>
        <v>Apr-2024</v>
      </c>
      <c r="B977" s="2">
        <v>45401.816544363428</v>
      </c>
      <c r="C977" s="5" t="s">
        <v>12</v>
      </c>
      <c r="D977" s="3">
        <v>5</v>
      </c>
      <c r="E977" s="4">
        <v>1200</v>
      </c>
      <c r="F977" s="5" t="s">
        <v>24</v>
      </c>
      <c r="G977" s="5" t="s">
        <v>101</v>
      </c>
      <c r="H977" s="1">
        <f t="shared" si="31"/>
        <v>6000</v>
      </c>
    </row>
    <row r="978" spans="1:8" x14ac:dyDescent="0.3">
      <c r="A978" s="2" t="str">
        <f t="shared" si="30"/>
        <v>Apr-2024</v>
      </c>
      <c r="B978" s="2">
        <v>45402.303535694446</v>
      </c>
      <c r="C978" s="5" t="s">
        <v>36</v>
      </c>
      <c r="D978" s="3">
        <v>4</v>
      </c>
      <c r="E978" s="4">
        <v>700</v>
      </c>
      <c r="F978" s="5" t="s">
        <v>24</v>
      </c>
      <c r="G978" s="5" t="s">
        <v>264</v>
      </c>
      <c r="H978" s="1">
        <f t="shared" si="31"/>
        <v>2800</v>
      </c>
    </row>
    <row r="979" spans="1:8" x14ac:dyDescent="0.3">
      <c r="A979" s="2" t="str">
        <f t="shared" si="30"/>
        <v>Apr-2024</v>
      </c>
      <c r="B979" s="2">
        <v>45402.790527013887</v>
      </c>
      <c r="C979" s="5" t="s">
        <v>9</v>
      </c>
      <c r="D979" s="3">
        <v>3</v>
      </c>
      <c r="E979" s="4">
        <v>1800</v>
      </c>
      <c r="F979" s="5" t="s">
        <v>13</v>
      </c>
      <c r="G979" s="5" t="s">
        <v>362</v>
      </c>
      <c r="H979" s="1">
        <f t="shared" si="31"/>
        <v>5400</v>
      </c>
    </row>
    <row r="980" spans="1:8" x14ac:dyDescent="0.3">
      <c r="A980" s="2" t="str">
        <f t="shared" si="30"/>
        <v>Apr-2024</v>
      </c>
      <c r="B980" s="2">
        <v>45403.277518344905</v>
      </c>
      <c r="C980" s="5" t="s">
        <v>17</v>
      </c>
      <c r="D980" s="3">
        <v>6</v>
      </c>
      <c r="E980" s="4">
        <v>150</v>
      </c>
      <c r="F980" s="5" t="s">
        <v>7</v>
      </c>
      <c r="G980" s="5" t="s">
        <v>350</v>
      </c>
      <c r="H980" s="1">
        <f t="shared" si="31"/>
        <v>900</v>
      </c>
    </row>
    <row r="981" spans="1:8" x14ac:dyDescent="0.3">
      <c r="A981" s="2" t="str">
        <f t="shared" si="30"/>
        <v>Apr-2024</v>
      </c>
      <c r="B981" s="2">
        <v>45403.764509675922</v>
      </c>
      <c r="C981" s="5" t="s">
        <v>6</v>
      </c>
      <c r="D981" s="3">
        <v>5</v>
      </c>
      <c r="E981" s="4">
        <v>450</v>
      </c>
      <c r="F981" s="5" t="s">
        <v>7</v>
      </c>
      <c r="G981" s="5" t="s">
        <v>57</v>
      </c>
      <c r="H981" s="1">
        <f t="shared" si="31"/>
        <v>2250</v>
      </c>
    </row>
    <row r="982" spans="1:8" x14ac:dyDescent="0.3">
      <c r="A982" s="2" t="str">
        <f t="shared" si="30"/>
        <v>Apr-2024</v>
      </c>
      <c r="B982" s="2">
        <v>45404.251500995371</v>
      </c>
      <c r="C982" s="5" t="s">
        <v>26</v>
      </c>
      <c r="D982" s="3">
        <v>4</v>
      </c>
      <c r="E982" s="4">
        <v>450</v>
      </c>
      <c r="F982" s="5" t="s">
        <v>10</v>
      </c>
      <c r="G982" s="5" t="s">
        <v>211</v>
      </c>
      <c r="H982" s="1">
        <f t="shared" si="31"/>
        <v>1800</v>
      </c>
    </row>
    <row r="983" spans="1:8" x14ac:dyDescent="0.3">
      <c r="A983" s="2" t="str">
        <f t="shared" si="30"/>
        <v>Apr-2024</v>
      </c>
      <c r="B983" s="2">
        <v>45404.738492326389</v>
      </c>
      <c r="C983" s="5" t="s">
        <v>17</v>
      </c>
      <c r="D983" s="3">
        <v>4</v>
      </c>
      <c r="E983" s="4">
        <v>1800</v>
      </c>
      <c r="F983" s="5" t="s">
        <v>13</v>
      </c>
      <c r="G983" s="5" t="s">
        <v>336</v>
      </c>
      <c r="H983" s="1">
        <f t="shared" si="31"/>
        <v>7200</v>
      </c>
    </row>
    <row r="984" spans="1:8" x14ac:dyDescent="0.3">
      <c r="A984" s="2" t="str">
        <f t="shared" si="30"/>
        <v>Apr-2024</v>
      </c>
      <c r="B984" s="2">
        <v>45405.225483657407</v>
      </c>
      <c r="C984" s="5" t="s">
        <v>36</v>
      </c>
      <c r="D984" s="3">
        <v>1</v>
      </c>
      <c r="E984" s="4">
        <v>150</v>
      </c>
      <c r="F984" s="5" t="s">
        <v>10</v>
      </c>
      <c r="G984" s="5" t="s">
        <v>100</v>
      </c>
      <c r="H984" s="1">
        <f t="shared" si="31"/>
        <v>150</v>
      </c>
    </row>
    <row r="985" spans="1:8" x14ac:dyDescent="0.3">
      <c r="A985" s="2" t="str">
        <f t="shared" si="30"/>
        <v>Apr-2024</v>
      </c>
      <c r="B985" s="2">
        <v>45405.712474988424</v>
      </c>
      <c r="C985" s="5" t="s">
        <v>6</v>
      </c>
      <c r="D985" s="3">
        <v>1</v>
      </c>
      <c r="E985" s="4">
        <v>1200</v>
      </c>
      <c r="F985" s="5" t="s">
        <v>7</v>
      </c>
      <c r="G985" s="5" t="s">
        <v>261</v>
      </c>
      <c r="H985" s="1">
        <f t="shared" si="31"/>
        <v>1200</v>
      </c>
    </row>
    <row r="986" spans="1:8" x14ac:dyDescent="0.3">
      <c r="A986" s="2" t="str">
        <f t="shared" si="30"/>
        <v>Apr-2024</v>
      </c>
      <c r="B986" s="2">
        <v>45406.199466307873</v>
      </c>
      <c r="C986" s="5" t="s">
        <v>12</v>
      </c>
      <c r="D986" s="3">
        <v>6</v>
      </c>
      <c r="E986" s="4">
        <v>700</v>
      </c>
      <c r="F986" s="5" t="s">
        <v>10</v>
      </c>
      <c r="G986" s="5" t="s">
        <v>397</v>
      </c>
      <c r="H986" s="1">
        <f t="shared" si="31"/>
        <v>4200</v>
      </c>
    </row>
    <row r="987" spans="1:8" x14ac:dyDescent="0.3">
      <c r="A987" s="2" t="str">
        <f t="shared" si="30"/>
        <v>Apr-2024</v>
      </c>
      <c r="B987" s="2">
        <v>45406.686457638891</v>
      </c>
      <c r="C987" s="5" t="s">
        <v>17</v>
      </c>
      <c r="D987" s="3">
        <v>5</v>
      </c>
      <c r="E987" s="4">
        <v>150</v>
      </c>
      <c r="F987" s="5" t="s">
        <v>7</v>
      </c>
      <c r="G987" s="5" t="s">
        <v>21</v>
      </c>
      <c r="H987" s="1">
        <f t="shared" si="31"/>
        <v>750</v>
      </c>
    </row>
    <row r="988" spans="1:8" x14ac:dyDescent="0.3">
      <c r="A988" s="2" t="str">
        <f t="shared" si="30"/>
        <v>Apr-2024</v>
      </c>
      <c r="B988" s="2">
        <v>45407.173448969908</v>
      </c>
      <c r="C988" s="5" t="s">
        <v>36</v>
      </c>
      <c r="D988" s="3">
        <v>4</v>
      </c>
      <c r="E988" s="4">
        <v>450</v>
      </c>
      <c r="F988" s="5" t="s">
        <v>7</v>
      </c>
      <c r="G988" s="5" t="s">
        <v>157</v>
      </c>
      <c r="H988" s="1">
        <f t="shared" si="31"/>
        <v>1800</v>
      </c>
    </row>
    <row r="989" spans="1:8" x14ac:dyDescent="0.3">
      <c r="A989" s="2" t="str">
        <f t="shared" si="30"/>
        <v>Apr-2024</v>
      </c>
      <c r="B989" s="2">
        <v>45407.66044028935</v>
      </c>
      <c r="C989" s="5" t="s">
        <v>9</v>
      </c>
      <c r="D989" s="3">
        <v>6</v>
      </c>
      <c r="E989" s="4">
        <v>1800</v>
      </c>
      <c r="F989" s="5" t="s">
        <v>10</v>
      </c>
      <c r="G989" s="5" t="s">
        <v>231</v>
      </c>
      <c r="H989" s="1">
        <f t="shared" si="31"/>
        <v>10800</v>
      </c>
    </row>
    <row r="990" spans="1:8" x14ac:dyDescent="0.3">
      <c r="A990" s="2" t="str">
        <f t="shared" si="30"/>
        <v>Apr-2024</v>
      </c>
      <c r="B990" s="2">
        <v>45408.147431620368</v>
      </c>
      <c r="C990" s="5" t="s">
        <v>26</v>
      </c>
      <c r="D990" s="3">
        <v>6</v>
      </c>
      <c r="E990" s="4">
        <v>1800</v>
      </c>
      <c r="F990" s="5" t="s">
        <v>10</v>
      </c>
      <c r="G990" s="5" t="s">
        <v>14</v>
      </c>
      <c r="H990" s="1">
        <f t="shared" si="31"/>
        <v>10800</v>
      </c>
    </row>
    <row r="991" spans="1:8" x14ac:dyDescent="0.3">
      <c r="A991" s="2" t="str">
        <f t="shared" si="30"/>
        <v>Apr-2024</v>
      </c>
      <c r="B991" s="2">
        <v>45408.634422951392</v>
      </c>
      <c r="C991" s="5" t="s">
        <v>6</v>
      </c>
      <c r="D991" s="3">
        <v>2</v>
      </c>
      <c r="E991" s="4">
        <v>700</v>
      </c>
      <c r="F991" s="5" t="s">
        <v>24</v>
      </c>
      <c r="G991" s="5" t="s">
        <v>451</v>
      </c>
      <c r="H991" s="1">
        <f t="shared" si="31"/>
        <v>1400</v>
      </c>
    </row>
    <row r="992" spans="1:8" x14ac:dyDescent="0.3">
      <c r="A992" s="2" t="str">
        <f t="shared" si="30"/>
        <v>Apr-2024</v>
      </c>
      <c r="B992" s="2">
        <v>45409.121414270834</v>
      </c>
      <c r="C992" s="5" t="s">
        <v>17</v>
      </c>
      <c r="D992" s="3">
        <v>1</v>
      </c>
      <c r="E992" s="4">
        <v>1800</v>
      </c>
      <c r="F992" s="5" t="s">
        <v>24</v>
      </c>
      <c r="G992" s="5" t="s">
        <v>452</v>
      </c>
      <c r="H992" s="1">
        <f t="shared" si="31"/>
        <v>1800</v>
      </c>
    </row>
    <row r="993" spans="1:8" x14ac:dyDescent="0.3">
      <c r="A993" s="2" t="str">
        <f t="shared" si="30"/>
        <v>Apr-2024</v>
      </c>
      <c r="B993" s="2">
        <v>45409.608405601852</v>
      </c>
      <c r="C993" s="5" t="s">
        <v>17</v>
      </c>
      <c r="D993" s="3">
        <v>5</v>
      </c>
      <c r="E993" s="4">
        <v>1800</v>
      </c>
      <c r="F993" s="5" t="s">
        <v>24</v>
      </c>
      <c r="G993" s="5" t="s">
        <v>136</v>
      </c>
      <c r="H993" s="1">
        <f t="shared" si="31"/>
        <v>9000</v>
      </c>
    </row>
    <row r="994" spans="1:8" x14ac:dyDescent="0.3">
      <c r="A994" s="2" t="str">
        <f t="shared" si="30"/>
        <v>Apr-2024</v>
      </c>
      <c r="B994" s="2">
        <v>45410.095396932869</v>
      </c>
      <c r="C994" s="5" t="s">
        <v>12</v>
      </c>
      <c r="D994" s="3">
        <v>4</v>
      </c>
      <c r="E994" s="4">
        <v>150</v>
      </c>
      <c r="F994" s="5" t="s">
        <v>7</v>
      </c>
      <c r="G994" s="5" t="s">
        <v>165</v>
      </c>
      <c r="H994" s="1">
        <f t="shared" si="31"/>
        <v>600</v>
      </c>
    </row>
    <row r="995" spans="1:8" x14ac:dyDescent="0.3">
      <c r="A995" s="2" t="str">
        <f t="shared" si="30"/>
        <v>Apr-2024</v>
      </c>
      <c r="B995" s="2">
        <v>45410.582388263887</v>
      </c>
      <c r="C995" s="5" t="s">
        <v>12</v>
      </c>
      <c r="D995" s="3">
        <v>6</v>
      </c>
      <c r="E995" s="4">
        <v>1200</v>
      </c>
      <c r="F995" s="5" t="s">
        <v>10</v>
      </c>
      <c r="G995" s="5" t="s">
        <v>364</v>
      </c>
      <c r="H995" s="1">
        <f t="shared" si="31"/>
        <v>7200</v>
      </c>
    </row>
    <row r="996" spans="1:8" x14ac:dyDescent="0.3">
      <c r="A996" s="2" t="str">
        <f t="shared" si="30"/>
        <v>Apr-2024</v>
      </c>
      <c r="B996" s="2">
        <v>45411.069379583336</v>
      </c>
      <c r="C996" s="5" t="s">
        <v>9</v>
      </c>
      <c r="D996" s="3">
        <v>4</v>
      </c>
      <c r="E996" s="4">
        <v>700</v>
      </c>
      <c r="F996" s="5" t="s">
        <v>13</v>
      </c>
      <c r="G996" s="5" t="s">
        <v>330</v>
      </c>
      <c r="H996" s="1">
        <f t="shared" si="31"/>
        <v>2800</v>
      </c>
    </row>
    <row r="997" spans="1:8" x14ac:dyDescent="0.3">
      <c r="A997" s="2" t="str">
        <f t="shared" si="30"/>
        <v>Apr-2024</v>
      </c>
      <c r="B997" s="2">
        <v>45411.556370914353</v>
      </c>
      <c r="C997" s="5" t="s">
        <v>26</v>
      </c>
      <c r="D997" s="3">
        <v>2</v>
      </c>
      <c r="E997" s="4">
        <v>150</v>
      </c>
      <c r="F997" s="5" t="s">
        <v>7</v>
      </c>
      <c r="G997" s="5" t="s">
        <v>279</v>
      </c>
      <c r="H997" s="1">
        <f t="shared" si="31"/>
        <v>300</v>
      </c>
    </row>
    <row r="998" spans="1:8" x14ac:dyDescent="0.3">
      <c r="A998" s="2" t="str">
        <f t="shared" si="30"/>
        <v>Apr-2024</v>
      </c>
      <c r="B998" s="2">
        <v>45412.043362245371</v>
      </c>
      <c r="C998" s="5" t="s">
        <v>9</v>
      </c>
      <c r="D998" s="3">
        <v>5</v>
      </c>
      <c r="E998" s="4">
        <v>1200</v>
      </c>
      <c r="F998" s="5" t="s">
        <v>13</v>
      </c>
      <c r="G998" s="5" t="s">
        <v>335</v>
      </c>
      <c r="H998" s="1">
        <f t="shared" si="31"/>
        <v>6000</v>
      </c>
    </row>
    <row r="999" spans="1:8" x14ac:dyDescent="0.3">
      <c r="A999" s="2" t="str">
        <f t="shared" si="30"/>
        <v>Apr-2024</v>
      </c>
      <c r="B999" s="2">
        <v>45412.530353564813</v>
      </c>
      <c r="C999" s="5" t="s">
        <v>36</v>
      </c>
      <c r="D999" s="3">
        <v>6</v>
      </c>
      <c r="E999" s="4">
        <v>150</v>
      </c>
      <c r="F999" s="5" t="s">
        <v>10</v>
      </c>
      <c r="G999" s="5" t="s">
        <v>147</v>
      </c>
      <c r="H999" s="1">
        <f t="shared" si="31"/>
        <v>900</v>
      </c>
    </row>
    <row r="1000" spans="1:8" x14ac:dyDescent="0.3">
      <c r="A1000" s="2" t="str">
        <f t="shared" si="30"/>
        <v>May-2024</v>
      </c>
      <c r="B1000" s="2">
        <v>45413.01734489583</v>
      </c>
      <c r="C1000" s="5" t="s">
        <v>36</v>
      </c>
      <c r="D1000" s="3">
        <v>4</v>
      </c>
      <c r="E1000" s="4">
        <v>3500</v>
      </c>
      <c r="F1000" s="5" t="s">
        <v>7</v>
      </c>
      <c r="G1000" s="5" t="s">
        <v>412</v>
      </c>
      <c r="H1000" s="1">
        <f t="shared" si="31"/>
        <v>14000</v>
      </c>
    </row>
    <row r="1001" spans="1:8" x14ac:dyDescent="0.3">
      <c r="A1001" s="2" t="str">
        <f t="shared" si="30"/>
        <v>May-2024</v>
      </c>
      <c r="B1001" s="2">
        <v>45413.504336226855</v>
      </c>
      <c r="C1001" s="5" t="s">
        <v>9</v>
      </c>
      <c r="D1001" s="3">
        <v>1</v>
      </c>
      <c r="E1001" s="4">
        <v>150</v>
      </c>
      <c r="F1001" s="5" t="s">
        <v>13</v>
      </c>
      <c r="G1001" s="5" t="s">
        <v>228</v>
      </c>
      <c r="H1001" s="1">
        <f t="shared" si="31"/>
        <v>150</v>
      </c>
    </row>
    <row r="1002" spans="1:8" x14ac:dyDescent="0.3">
      <c r="A1002" s="2" t="str">
        <f t="shared" si="30"/>
        <v>May-2024</v>
      </c>
      <c r="B1002" s="2">
        <v>45413.991327546297</v>
      </c>
      <c r="C1002" s="5" t="s">
        <v>26</v>
      </c>
      <c r="D1002" s="3">
        <v>2</v>
      </c>
      <c r="E1002" s="4">
        <v>1800</v>
      </c>
      <c r="F1002" s="5" t="s">
        <v>13</v>
      </c>
      <c r="G1002" s="5" t="s">
        <v>239</v>
      </c>
      <c r="H1002" s="1">
        <f t="shared" si="31"/>
        <v>3600</v>
      </c>
    </row>
    <row r="1003" spans="1:8" x14ac:dyDescent="0.3">
      <c r="A1003" s="2" t="str">
        <f t="shared" si="30"/>
        <v>May-2024</v>
      </c>
      <c r="B1003" s="2">
        <v>45414.478318877314</v>
      </c>
      <c r="C1003" s="5" t="s">
        <v>9</v>
      </c>
      <c r="D1003" s="3">
        <v>5</v>
      </c>
      <c r="E1003" s="4">
        <v>1200</v>
      </c>
      <c r="F1003" s="5" t="s">
        <v>24</v>
      </c>
      <c r="G1003" s="5" t="s">
        <v>430</v>
      </c>
      <c r="H1003" s="1">
        <f t="shared" si="31"/>
        <v>6000</v>
      </c>
    </row>
    <row r="1004" spans="1:8" x14ac:dyDescent="0.3">
      <c r="A1004" s="2" t="str">
        <f t="shared" si="30"/>
        <v>May-2024</v>
      </c>
      <c r="B1004" s="2">
        <v>45414.965310208332</v>
      </c>
      <c r="C1004" s="5" t="s">
        <v>26</v>
      </c>
      <c r="D1004" s="3">
        <v>2</v>
      </c>
      <c r="E1004" s="4">
        <v>700</v>
      </c>
      <c r="F1004" s="5" t="s">
        <v>24</v>
      </c>
      <c r="G1004" s="5" t="s">
        <v>392</v>
      </c>
      <c r="H1004" s="1">
        <f t="shared" si="31"/>
        <v>1400</v>
      </c>
    </row>
    <row r="1005" spans="1:8" x14ac:dyDescent="0.3">
      <c r="A1005" s="2" t="str">
        <f t="shared" si="30"/>
        <v>May-2024</v>
      </c>
      <c r="B1005" s="2">
        <v>45415.45230153935</v>
      </c>
      <c r="C1005" s="5" t="s">
        <v>26</v>
      </c>
      <c r="D1005" s="3">
        <v>1</v>
      </c>
      <c r="E1005" s="4">
        <v>700</v>
      </c>
      <c r="F1005" s="5" t="s">
        <v>24</v>
      </c>
      <c r="G1005" s="5" t="s">
        <v>450</v>
      </c>
      <c r="H1005" s="1">
        <f t="shared" si="31"/>
        <v>700</v>
      </c>
    </row>
    <row r="1006" spans="1:8" x14ac:dyDescent="0.3">
      <c r="A1006" s="2" t="str">
        <f t="shared" si="30"/>
        <v>May-2024</v>
      </c>
      <c r="B1006" s="2">
        <v>45415.939292858799</v>
      </c>
      <c r="C1006" s="5" t="s">
        <v>6</v>
      </c>
      <c r="D1006" s="3">
        <v>5</v>
      </c>
      <c r="E1006" s="4">
        <v>1200</v>
      </c>
      <c r="F1006" s="5" t="s">
        <v>7</v>
      </c>
      <c r="G1006" s="5" t="s">
        <v>137</v>
      </c>
      <c r="H1006" s="1">
        <f t="shared" si="31"/>
        <v>6000</v>
      </c>
    </row>
    <row r="1007" spans="1:8" x14ac:dyDescent="0.3">
      <c r="A1007" s="2" t="str">
        <f t="shared" si="30"/>
        <v>May-2024</v>
      </c>
      <c r="B1007" s="2">
        <v>45416.426284189816</v>
      </c>
      <c r="C1007" s="5" t="s">
        <v>26</v>
      </c>
      <c r="D1007" s="3">
        <v>2</v>
      </c>
      <c r="E1007" s="4">
        <v>1800</v>
      </c>
      <c r="F1007" s="5" t="s">
        <v>10</v>
      </c>
      <c r="G1007" s="5" t="s">
        <v>104</v>
      </c>
      <c r="H1007" s="1">
        <f t="shared" si="31"/>
        <v>3600</v>
      </c>
    </row>
    <row r="1008" spans="1:8" x14ac:dyDescent="0.3">
      <c r="A1008" s="2" t="str">
        <f t="shared" si="30"/>
        <v>May-2024</v>
      </c>
      <c r="B1008" s="2">
        <v>45416.913275520834</v>
      </c>
      <c r="C1008" s="5" t="s">
        <v>12</v>
      </c>
      <c r="D1008" s="3">
        <v>3</v>
      </c>
      <c r="E1008" s="4">
        <v>450</v>
      </c>
      <c r="F1008" s="5" t="s">
        <v>10</v>
      </c>
      <c r="G1008" s="5" t="s">
        <v>79</v>
      </c>
      <c r="H1008" s="1">
        <f t="shared" si="31"/>
        <v>1350</v>
      </c>
    </row>
    <row r="1009" spans="1:8" x14ac:dyDescent="0.3">
      <c r="A1009" s="2" t="str">
        <f t="shared" si="30"/>
        <v>May-2024</v>
      </c>
      <c r="B1009" s="2">
        <v>45417.400266840275</v>
      </c>
      <c r="C1009" s="5" t="s">
        <v>26</v>
      </c>
      <c r="D1009" s="3">
        <v>1</v>
      </c>
      <c r="E1009" s="4">
        <v>150</v>
      </c>
      <c r="F1009" s="5" t="s">
        <v>24</v>
      </c>
      <c r="G1009" s="5" t="s">
        <v>362</v>
      </c>
      <c r="H1009" s="1">
        <f t="shared" si="31"/>
        <v>150</v>
      </c>
    </row>
    <row r="1010" spans="1:8" x14ac:dyDescent="0.3">
      <c r="A1010" s="2" t="str">
        <f t="shared" si="30"/>
        <v>May-2024</v>
      </c>
      <c r="B1010" s="2">
        <v>45417.887258171293</v>
      </c>
      <c r="C1010" s="5" t="s">
        <v>26</v>
      </c>
      <c r="D1010" s="3">
        <v>1</v>
      </c>
      <c r="E1010" s="4">
        <v>1800</v>
      </c>
      <c r="F1010" s="5" t="s">
        <v>24</v>
      </c>
      <c r="G1010" s="5" t="s">
        <v>453</v>
      </c>
      <c r="H1010" s="1">
        <f t="shared" si="31"/>
        <v>1800</v>
      </c>
    </row>
    <row r="1011" spans="1:8" x14ac:dyDescent="0.3">
      <c r="A1011" s="2" t="str">
        <f t="shared" si="30"/>
        <v>May-2024</v>
      </c>
      <c r="B1011" s="2">
        <v>45418.374249502318</v>
      </c>
      <c r="C1011" s="5" t="s">
        <v>26</v>
      </c>
      <c r="D1011" s="3">
        <v>1</v>
      </c>
      <c r="E1011" s="4">
        <v>3500</v>
      </c>
      <c r="F1011" s="5" t="s">
        <v>24</v>
      </c>
      <c r="G1011" s="5" t="s">
        <v>454</v>
      </c>
      <c r="H1011" s="1">
        <f t="shared" si="31"/>
        <v>3500</v>
      </c>
    </row>
    <row r="1012" spans="1:8" x14ac:dyDescent="0.3">
      <c r="A1012" s="2" t="str">
        <f t="shared" si="30"/>
        <v>May-2024</v>
      </c>
      <c r="B1012" s="2">
        <v>45418.86124082176</v>
      </c>
      <c r="C1012" s="5" t="s">
        <v>36</v>
      </c>
      <c r="D1012" s="3">
        <v>3</v>
      </c>
      <c r="E1012" s="4">
        <v>1200</v>
      </c>
      <c r="F1012" s="5" t="s">
        <v>13</v>
      </c>
      <c r="G1012" s="5" t="s">
        <v>238</v>
      </c>
      <c r="H1012" s="1">
        <f t="shared" si="31"/>
        <v>3600</v>
      </c>
    </row>
    <row r="1013" spans="1:8" x14ac:dyDescent="0.3">
      <c r="A1013" s="2" t="str">
        <f t="shared" si="30"/>
        <v>May-2024</v>
      </c>
      <c r="B1013" s="2">
        <v>45419.348232152777</v>
      </c>
      <c r="C1013" s="5" t="s">
        <v>12</v>
      </c>
      <c r="D1013" s="3">
        <v>3</v>
      </c>
      <c r="E1013" s="4">
        <v>150</v>
      </c>
      <c r="F1013" s="5" t="s">
        <v>24</v>
      </c>
      <c r="G1013" s="5" t="s">
        <v>423</v>
      </c>
      <c r="H1013" s="1">
        <f t="shared" si="31"/>
        <v>450</v>
      </c>
    </row>
    <row r="1014" spans="1:8" x14ac:dyDescent="0.3">
      <c r="A1014" s="2" t="str">
        <f t="shared" si="30"/>
        <v>May-2024</v>
      </c>
      <c r="B1014" s="2">
        <v>45419.835223483795</v>
      </c>
      <c r="C1014" s="5" t="s">
        <v>12</v>
      </c>
      <c r="D1014" s="3">
        <v>4</v>
      </c>
      <c r="E1014" s="4">
        <v>700</v>
      </c>
      <c r="F1014" s="5" t="s">
        <v>13</v>
      </c>
      <c r="G1014" s="5" t="s">
        <v>455</v>
      </c>
      <c r="H1014" s="1">
        <f t="shared" si="31"/>
        <v>2800</v>
      </c>
    </row>
    <row r="1015" spans="1:8" x14ac:dyDescent="0.3">
      <c r="A1015" s="2" t="str">
        <f t="shared" si="30"/>
        <v>May-2024</v>
      </c>
      <c r="B1015" s="2">
        <v>45420.322214814812</v>
      </c>
      <c r="C1015" s="5" t="s">
        <v>9</v>
      </c>
      <c r="D1015" s="3">
        <v>6</v>
      </c>
      <c r="E1015" s="4">
        <v>450</v>
      </c>
      <c r="F1015" s="5" t="s">
        <v>10</v>
      </c>
      <c r="G1015" s="5" t="s">
        <v>388</v>
      </c>
      <c r="H1015" s="1">
        <f t="shared" si="31"/>
        <v>2700</v>
      </c>
    </row>
    <row r="1016" spans="1:8" x14ac:dyDescent="0.3">
      <c r="A1016" s="2" t="str">
        <f t="shared" si="30"/>
        <v>May-2024</v>
      </c>
      <c r="B1016" s="2">
        <v>45420.809206134261</v>
      </c>
      <c r="C1016" s="5" t="s">
        <v>6</v>
      </c>
      <c r="D1016" s="3">
        <v>2</v>
      </c>
      <c r="E1016" s="4">
        <v>3500</v>
      </c>
      <c r="F1016" s="5" t="s">
        <v>7</v>
      </c>
      <c r="G1016" s="5" t="s">
        <v>32</v>
      </c>
      <c r="H1016" s="1">
        <f t="shared" si="31"/>
        <v>7000</v>
      </c>
    </row>
    <row r="1017" spans="1:8" x14ac:dyDescent="0.3">
      <c r="A1017" s="2" t="str">
        <f t="shared" si="30"/>
        <v>May-2024</v>
      </c>
      <c r="B1017" s="2">
        <v>45421.296197465279</v>
      </c>
      <c r="C1017" s="5" t="s">
        <v>26</v>
      </c>
      <c r="D1017" s="3">
        <v>4</v>
      </c>
      <c r="E1017" s="4">
        <v>700</v>
      </c>
      <c r="F1017" s="5" t="s">
        <v>7</v>
      </c>
      <c r="G1017" s="5" t="s">
        <v>109</v>
      </c>
      <c r="H1017" s="1">
        <f t="shared" si="31"/>
        <v>2800</v>
      </c>
    </row>
    <row r="1018" spans="1:8" x14ac:dyDescent="0.3">
      <c r="A1018" s="2" t="str">
        <f t="shared" si="30"/>
        <v>May-2024</v>
      </c>
      <c r="B1018" s="2">
        <v>45421.783188796297</v>
      </c>
      <c r="C1018" s="5" t="s">
        <v>17</v>
      </c>
      <c r="D1018" s="3">
        <v>2</v>
      </c>
      <c r="E1018" s="4">
        <v>1200</v>
      </c>
      <c r="F1018" s="5" t="s">
        <v>7</v>
      </c>
      <c r="G1018" s="5" t="s">
        <v>196</v>
      </c>
      <c r="H1018" s="1">
        <f t="shared" si="31"/>
        <v>2400</v>
      </c>
    </row>
    <row r="1019" spans="1:8" x14ac:dyDescent="0.3">
      <c r="A1019" s="2" t="str">
        <f t="shared" si="30"/>
        <v>May-2024</v>
      </c>
      <c r="B1019" s="2">
        <v>45422.270180115738</v>
      </c>
      <c r="C1019" s="5" t="s">
        <v>6</v>
      </c>
      <c r="D1019" s="3">
        <v>6</v>
      </c>
      <c r="E1019" s="4">
        <v>150</v>
      </c>
      <c r="F1019" s="5" t="s">
        <v>7</v>
      </c>
      <c r="G1019" s="5" t="s">
        <v>87</v>
      </c>
      <c r="H1019" s="1">
        <f t="shared" si="31"/>
        <v>900</v>
      </c>
    </row>
    <row r="1020" spans="1:8" x14ac:dyDescent="0.3">
      <c r="A1020" s="2" t="str">
        <f t="shared" si="30"/>
        <v>May-2024</v>
      </c>
      <c r="B1020" s="2">
        <v>45422.757171446756</v>
      </c>
      <c r="C1020" s="5" t="s">
        <v>6</v>
      </c>
      <c r="D1020" s="3">
        <v>3</v>
      </c>
      <c r="E1020" s="4">
        <v>1200</v>
      </c>
      <c r="F1020" s="5" t="s">
        <v>13</v>
      </c>
      <c r="G1020" s="5" t="s">
        <v>155</v>
      </c>
      <c r="H1020" s="1">
        <f t="shared" si="31"/>
        <v>3600</v>
      </c>
    </row>
    <row r="1021" spans="1:8" x14ac:dyDescent="0.3">
      <c r="A1021" s="2" t="str">
        <f t="shared" si="30"/>
        <v>May-2024</v>
      </c>
      <c r="B1021" s="2">
        <v>45423.244162777781</v>
      </c>
      <c r="C1021" s="5" t="s">
        <v>12</v>
      </c>
      <c r="D1021" s="3">
        <v>6</v>
      </c>
      <c r="E1021" s="4">
        <v>150</v>
      </c>
      <c r="F1021" s="5" t="s">
        <v>13</v>
      </c>
      <c r="G1021" s="5" t="s">
        <v>52</v>
      </c>
      <c r="H1021" s="1">
        <f t="shared" si="31"/>
        <v>900</v>
      </c>
    </row>
    <row r="1022" spans="1:8" x14ac:dyDescent="0.3">
      <c r="A1022" s="2" t="str">
        <f t="shared" si="30"/>
        <v>May-2024</v>
      </c>
      <c r="B1022" s="2">
        <v>45423.731154097222</v>
      </c>
      <c r="C1022" s="5" t="s">
        <v>6</v>
      </c>
      <c r="D1022" s="3">
        <v>3</v>
      </c>
      <c r="E1022" s="4">
        <v>1800</v>
      </c>
      <c r="F1022" s="5" t="s">
        <v>24</v>
      </c>
      <c r="G1022" s="5" t="s">
        <v>324</v>
      </c>
      <c r="H1022" s="1">
        <f t="shared" si="31"/>
        <v>5400</v>
      </c>
    </row>
    <row r="1023" spans="1:8" x14ac:dyDescent="0.3">
      <c r="A1023" s="2" t="str">
        <f t="shared" si="30"/>
        <v>May-2024</v>
      </c>
      <c r="B1023" s="2">
        <v>45424.21814542824</v>
      </c>
      <c r="C1023" s="5" t="s">
        <v>26</v>
      </c>
      <c r="D1023" s="3">
        <v>6</v>
      </c>
      <c r="E1023" s="4">
        <v>450</v>
      </c>
      <c r="F1023" s="5" t="s">
        <v>13</v>
      </c>
      <c r="G1023" s="5" t="s">
        <v>329</v>
      </c>
      <c r="H1023" s="1">
        <f t="shared" si="31"/>
        <v>2700</v>
      </c>
    </row>
    <row r="1024" spans="1:8" x14ac:dyDescent="0.3">
      <c r="A1024" s="2" t="str">
        <f t="shared" si="30"/>
        <v>May-2024</v>
      </c>
      <c r="B1024" s="2">
        <v>45424.705136759258</v>
      </c>
      <c r="C1024" s="5" t="s">
        <v>26</v>
      </c>
      <c r="D1024" s="3">
        <v>4</v>
      </c>
      <c r="E1024" s="4">
        <v>1800</v>
      </c>
      <c r="F1024" s="5" t="s">
        <v>24</v>
      </c>
      <c r="G1024" s="5" t="s">
        <v>95</v>
      </c>
      <c r="H1024" s="1">
        <f t="shared" si="31"/>
        <v>7200</v>
      </c>
    </row>
    <row r="1025" spans="1:8" x14ac:dyDescent="0.3">
      <c r="A1025" s="2" t="str">
        <f t="shared" si="30"/>
        <v>May-2024</v>
      </c>
      <c r="B1025" s="2">
        <v>45425.192128090275</v>
      </c>
      <c r="C1025" s="5" t="s">
        <v>36</v>
      </c>
      <c r="D1025" s="3">
        <v>5</v>
      </c>
      <c r="E1025" s="4">
        <v>1800</v>
      </c>
      <c r="F1025" s="5" t="s">
        <v>24</v>
      </c>
      <c r="G1025" s="5" t="s">
        <v>52</v>
      </c>
      <c r="H1025" s="1">
        <f t="shared" si="31"/>
        <v>9000</v>
      </c>
    </row>
    <row r="1026" spans="1:8" x14ac:dyDescent="0.3">
      <c r="A1026" s="2" t="str">
        <f t="shared" si="30"/>
        <v>May-2024</v>
      </c>
      <c r="B1026" s="2">
        <v>45425.679119409724</v>
      </c>
      <c r="C1026" s="5" t="s">
        <v>26</v>
      </c>
      <c r="D1026" s="3">
        <v>4</v>
      </c>
      <c r="E1026" s="4">
        <v>1200</v>
      </c>
      <c r="F1026" s="5" t="s">
        <v>7</v>
      </c>
      <c r="G1026" s="5" t="s">
        <v>396</v>
      </c>
      <c r="H1026" s="1">
        <f t="shared" si="31"/>
        <v>4800</v>
      </c>
    </row>
    <row r="1027" spans="1:8" x14ac:dyDescent="0.3">
      <c r="A1027" s="2" t="str">
        <f t="shared" ref="A1027:A1090" si="32">TEXT(B1027, "mmm-yyyy")</f>
        <v>May-2024</v>
      </c>
      <c r="B1027" s="2">
        <v>45426.166110740742</v>
      </c>
      <c r="C1027" s="5" t="s">
        <v>26</v>
      </c>
      <c r="D1027" s="3">
        <v>2</v>
      </c>
      <c r="E1027" s="4">
        <v>450</v>
      </c>
      <c r="F1027" s="5" t="s">
        <v>13</v>
      </c>
      <c r="G1027" s="5" t="s">
        <v>373</v>
      </c>
      <c r="H1027" s="1">
        <f t="shared" ref="H1027:H1090" si="33" xml:space="preserve"> D1027 * E1027</f>
        <v>900</v>
      </c>
    </row>
    <row r="1028" spans="1:8" x14ac:dyDescent="0.3">
      <c r="A1028" s="2" t="str">
        <f t="shared" si="32"/>
        <v>May-2024</v>
      </c>
      <c r="B1028" s="2">
        <v>45426.653102071759</v>
      </c>
      <c r="C1028" s="5" t="s">
        <v>12</v>
      </c>
      <c r="D1028" s="3">
        <v>4</v>
      </c>
      <c r="E1028" s="4">
        <v>150</v>
      </c>
      <c r="F1028" s="5" t="s">
        <v>13</v>
      </c>
      <c r="G1028" s="5" t="s">
        <v>394</v>
      </c>
      <c r="H1028" s="1">
        <f t="shared" si="33"/>
        <v>600</v>
      </c>
    </row>
    <row r="1029" spans="1:8" x14ac:dyDescent="0.3">
      <c r="A1029" s="2" t="str">
        <f t="shared" si="32"/>
        <v>May-2024</v>
      </c>
      <c r="B1029" s="2">
        <v>45427.140093391201</v>
      </c>
      <c r="C1029" s="5" t="s">
        <v>26</v>
      </c>
      <c r="D1029" s="3">
        <v>1</v>
      </c>
      <c r="E1029" s="4">
        <v>150</v>
      </c>
      <c r="F1029" s="5" t="s">
        <v>24</v>
      </c>
      <c r="G1029" s="5" t="s">
        <v>204</v>
      </c>
      <c r="H1029" s="1">
        <f t="shared" si="33"/>
        <v>150</v>
      </c>
    </row>
    <row r="1030" spans="1:8" x14ac:dyDescent="0.3">
      <c r="A1030" s="2" t="str">
        <f t="shared" si="32"/>
        <v>May-2024</v>
      </c>
      <c r="B1030" s="2">
        <v>45427.627084722226</v>
      </c>
      <c r="C1030" s="5" t="s">
        <v>36</v>
      </c>
      <c r="D1030" s="3">
        <v>2</v>
      </c>
      <c r="E1030" s="4">
        <v>3500</v>
      </c>
      <c r="F1030" s="5" t="s">
        <v>24</v>
      </c>
      <c r="G1030" s="5" t="s">
        <v>456</v>
      </c>
      <c r="H1030" s="1">
        <f t="shared" si="33"/>
        <v>7000</v>
      </c>
    </row>
    <row r="1031" spans="1:8" x14ac:dyDescent="0.3">
      <c r="A1031" s="2" t="str">
        <f t="shared" si="32"/>
        <v>May-2024</v>
      </c>
      <c r="B1031" s="2">
        <v>45428.114076053243</v>
      </c>
      <c r="C1031" s="5" t="s">
        <v>17</v>
      </c>
      <c r="D1031" s="3">
        <v>6</v>
      </c>
      <c r="E1031" s="4">
        <v>700</v>
      </c>
      <c r="F1031" s="5" t="s">
        <v>10</v>
      </c>
      <c r="G1031" s="5" t="s">
        <v>104</v>
      </c>
      <c r="H1031" s="1">
        <f t="shared" si="33"/>
        <v>4200</v>
      </c>
    </row>
    <row r="1032" spans="1:8" x14ac:dyDescent="0.3">
      <c r="A1032" s="2" t="str">
        <f t="shared" si="32"/>
        <v>May-2024</v>
      </c>
      <c r="B1032" s="2">
        <v>45428.601067372685</v>
      </c>
      <c r="C1032" s="5" t="s">
        <v>12</v>
      </c>
      <c r="D1032" s="3">
        <v>2</v>
      </c>
      <c r="E1032" s="4">
        <v>3500</v>
      </c>
      <c r="F1032" s="5" t="s">
        <v>10</v>
      </c>
      <c r="G1032" s="5" t="s">
        <v>226</v>
      </c>
      <c r="H1032" s="1">
        <f t="shared" si="33"/>
        <v>7000</v>
      </c>
    </row>
    <row r="1033" spans="1:8" x14ac:dyDescent="0.3">
      <c r="A1033" s="2" t="str">
        <f t="shared" si="32"/>
        <v>May-2024</v>
      </c>
      <c r="B1033" s="2">
        <v>45429.088058703703</v>
      </c>
      <c r="C1033" s="5" t="s">
        <v>17</v>
      </c>
      <c r="D1033" s="3">
        <v>5</v>
      </c>
      <c r="E1033" s="4">
        <v>3500</v>
      </c>
      <c r="F1033" s="5" t="s">
        <v>24</v>
      </c>
      <c r="G1033" s="5" t="s">
        <v>317</v>
      </c>
      <c r="H1033" s="1">
        <f t="shared" si="33"/>
        <v>17500</v>
      </c>
    </row>
    <row r="1034" spans="1:8" x14ac:dyDescent="0.3">
      <c r="A1034" s="2" t="str">
        <f t="shared" si="32"/>
        <v>May-2024</v>
      </c>
      <c r="B1034" s="2">
        <v>45429.57505003472</v>
      </c>
      <c r="C1034" s="5" t="s">
        <v>12</v>
      </c>
      <c r="D1034" s="3">
        <v>3</v>
      </c>
      <c r="E1034" s="4">
        <v>150</v>
      </c>
      <c r="F1034" s="5" t="s">
        <v>10</v>
      </c>
      <c r="G1034" s="5" t="s">
        <v>393</v>
      </c>
      <c r="H1034" s="1">
        <f t="shared" si="33"/>
        <v>450</v>
      </c>
    </row>
    <row r="1035" spans="1:8" x14ac:dyDescent="0.3">
      <c r="A1035" s="2" t="str">
        <f t="shared" si="32"/>
        <v>May-2024</v>
      </c>
      <c r="B1035" s="2">
        <v>45430.062041365738</v>
      </c>
      <c r="C1035" s="5" t="s">
        <v>9</v>
      </c>
      <c r="D1035" s="3">
        <v>6</v>
      </c>
      <c r="E1035" s="4">
        <v>1200</v>
      </c>
      <c r="F1035" s="5" t="s">
        <v>10</v>
      </c>
      <c r="G1035" s="5" t="s">
        <v>156</v>
      </c>
      <c r="H1035" s="1">
        <f t="shared" si="33"/>
        <v>7200</v>
      </c>
    </row>
    <row r="1036" spans="1:8" x14ac:dyDescent="0.3">
      <c r="A1036" s="2" t="str">
        <f t="shared" si="32"/>
        <v>May-2024</v>
      </c>
      <c r="B1036" s="2">
        <v>45430.549032685187</v>
      </c>
      <c r="C1036" s="5" t="s">
        <v>6</v>
      </c>
      <c r="D1036" s="3">
        <v>2</v>
      </c>
      <c r="E1036" s="4">
        <v>1800</v>
      </c>
      <c r="F1036" s="5" t="s">
        <v>24</v>
      </c>
      <c r="G1036" s="5" t="s">
        <v>457</v>
      </c>
      <c r="H1036" s="1">
        <f t="shared" si="33"/>
        <v>3600</v>
      </c>
    </row>
    <row r="1037" spans="1:8" x14ac:dyDescent="0.3">
      <c r="A1037" s="2" t="str">
        <f t="shared" si="32"/>
        <v>May-2024</v>
      </c>
      <c r="B1037" s="2">
        <v>45431.036024016204</v>
      </c>
      <c r="C1037" s="5" t="s">
        <v>9</v>
      </c>
      <c r="D1037" s="3">
        <v>6</v>
      </c>
      <c r="E1037" s="4">
        <v>1800</v>
      </c>
      <c r="F1037" s="5" t="s">
        <v>24</v>
      </c>
      <c r="G1037" s="5" t="s">
        <v>303</v>
      </c>
      <c r="H1037" s="1">
        <f t="shared" si="33"/>
        <v>10800</v>
      </c>
    </row>
    <row r="1038" spans="1:8" x14ac:dyDescent="0.3">
      <c r="A1038" s="2" t="str">
        <f t="shared" si="32"/>
        <v>May-2024</v>
      </c>
      <c r="B1038" s="2">
        <v>45431.523015347222</v>
      </c>
      <c r="C1038" s="5" t="s">
        <v>26</v>
      </c>
      <c r="D1038" s="3">
        <v>6</v>
      </c>
      <c r="E1038" s="4">
        <v>1800</v>
      </c>
      <c r="F1038" s="5" t="s">
        <v>13</v>
      </c>
      <c r="G1038" s="5" t="s">
        <v>190</v>
      </c>
      <c r="H1038" s="1">
        <f t="shared" si="33"/>
        <v>10800</v>
      </c>
    </row>
    <row r="1039" spans="1:8" x14ac:dyDescent="0.3">
      <c r="A1039" s="2" t="str">
        <f t="shared" si="32"/>
        <v>May-2024</v>
      </c>
      <c r="B1039" s="2">
        <v>45432.010006666664</v>
      </c>
      <c r="C1039" s="5" t="s">
        <v>17</v>
      </c>
      <c r="D1039" s="3">
        <v>6</v>
      </c>
      <c r="E1039" s="4">
        <v>450</v>
      </c>
      <c r="F1039" s="5" t="s">
        <v>24</v>
      </c>
      <c r="G1039" s="5" t="s">
        <v>298</v>
      </c>
      <c r="H1039" s="1">
        <f t="shared" si="33"/>
        <v>2700</v>
      </c>
    </row>
    <row r="1040" spans="1:8" x14ac:dyDescent="0.3">
      <c r="A1040" s="2" t="str">
        <f t="shared" si="32"/>
        <v>May-2024</v>
      </c>
      <c r="B1040" s="2">
        <v>45432.496997997689</v>
      </c>
      <c r="C1040" s="5" t="s">
        <v>26</v>
      </c>
      <c r="D1040" s="3">
        <v>3</v>
      </c>
      <c r="E1040" s="4">
        <v>150</v>
      </c>
      <c r="F1040" s="5" t="s">
        <v>24</v>
      </c>
      <c r="G1040" s="5" t="s">
        <v>458</v>
      </c>
      <c r="H1040" s="1">
        <f t="shared" si="33"/>
        <v>450</v>
      </c>
    </row>
    <row r="1041" spans="1:8" x14ac:dyDescent="0.3">
      <c r="A1041" s="2" t="str">
        <f t="shared" si="32"/>
        <v>May-2024</v>
      </c>
      <c r="B1041" s="2">
        <v>45432.983989328706</v>
      </c>
      <c r="C1041" s="5" t="s">
        <v>6</v>
      </c>
      <c r="D1041" s="3">
        <v>4</v>
      </c>
      <c r="E1041" s="4">
        <v>1200</v>
      </c>
      <c r="F1041" s="5" t="s">
        <v>7</v>
      </c>
      <c r="G1041" s="5" t="s">
        <v>459</v>
      </c>
      <c r="H1041" s="1">
        <f t="shared" si="33"/>
        <v>4800</v>
      </c>
    </row>
    <row r="1042" spans="1:8" x14ac:dyDescent="0.3">
      <c r="A1042" s="2" t="str">
        <f t="shared" si="32"/>
        <v>May-2024</v>
      </c>
      <c r="B1042" s="2">
        <v>45433.470980648148</v>
      </c>
      <c r="C1042" s="5" t="s">
        <v>12</v>
      </c>
      <c r="D1042" s="3">
        <v>6</v>
      </c>
      <c r="E1042" s="4">
        <v>450</v>
      </c>
      <c r="F1042" s="5" t="s">
        <v>13</v>
      </c>
      <c r="G1042" s="5" t="s">
        <v>460</v>
      </c>
      <c r="H1042" s="1">
        <f t="shared" si="33"/>
        <v>2700</v>
      </c>
    </row>
    <row r="1043" spans="1:8" x14ac:dyDescent="0.3">
      <c r="A1043" s="2" t="str">
        <f t="shared" si="32"/>
        <v>May-2024</v>
      </c>
      <c r="B1043" s="2">
        <v>45433.957971979165</v>
      </c>
      <c r="C1043" s="5" t="s">
        <v>6</v>
      </c>
      <c r="D1043" s="3">
        <v>1</v>
      </c>
      <c r="E1043" s="4">
        <v>700</v>
      </c>
      <c r="F1043" s="5" t="s">
        <v>13</v>
      </c>
      <c r="G1043" s="5" t="s">
        <v>40</v>
      </c>
      <c r="H1043" s="1">
        <f t="shared" si="33"/>
        <v>700</v>
      </c>
    </row>
    <row r="1044" spans="1:8" x14ac:dyDescent="0.3">
      <c r="A1044" s="2" t="str">
        <f t="shared" si="32"/>
        <v>May-2024</v>
      </c>
      <c r="B1044" s="2">
        <v>45434.444963310183</v>
      </c>
      <c r="C1044" s="5" t="s">
        <v>36</v>
      </c>
      <c r="D1044" s="3">
        <v>5</v>
      </c>
      <c r="E1044" s="4">
        <v>1200</v>
      </c>
      <c r="F1044" s="5" t="s">
        <v>13</v>
      </c>
      <c r="G1044" s="5" t="s">
        <v>257</v>
      </c>
      <c r="H1044" s="1">
        <f t="shared" si="33"/>
        <v>6000</v>
      </c>
    </row>
    <row r="1045" spans="1:8" x14ac:dyDescent="0.3">
      <c r="A1045" s="2" t="str">
        <f t="shared" si="32"/>
        <v>May-2024</v>
      </c>
      <c r="B1045" s="2">
        <v>45434.931954641201</v>
      </c>
      <c r="C1045" s="5" t="s">
        <v>6</v>
      </c>
      <c r="D1045" s="3">
        <v>3</v>
      </c>
      <c r="E1045" s="4">
        <v>3500</v>
      </c>
      <c r="F1045" s="5" t="s">
        <v>7</v>
      </c>
      <c r="G1045" s="5" t="s">
        <v>208</v>
      </c>
      <c r="H1045" s="1">
        <f t="shared" si="33"/>
        <v>10500</v>
      </c>
    </row>
    <row r="1046" spans="1:8" x14ac:dyDescent="0.3">
      <c r="A1046" s="2" t="str">
        <f t="shared" si="32"/>
        <v>May-2024</v>
      </c>
      <c r="B1046" s="2">
        <v>45435.41894596065</v>
      </c>
      <c r="C1046" s="5" t="s">
        <v>36</v>
      </c>
      <c r="D1046" s="3">
        <v>2</v>
      </c>
      <c r="E1046" s="4">
        <v>1200</v>
      </c>
      <c r="F1046" s="5" t="s">
        <v>24</v>
      </c>
      <c r="G1046" s="5" t="s">
        <v>430</v>
      </c>
      <c r="H1046" s="1">
        <f t="shared" si="33"/>
        <v>2400</v>
      </c>
    </row>
    <row r="1047" spans="1:8" x14ac:dyDescent="0.3">
      <c r="A1047" s="2" t="str">
        <f t="shared" si="32"/>
        <v>May-2024</v>
      </c>
      <c r="B1047" s="2">
        <v>45435.905937291667</v>
      </c>
      <c r="C1047" s="5" t="s">
        <v>6</v>
      </c>
      <c r="D1047" s="3">
        <v>3</v>
      </c>
      <c r="E1047" s="4">
        <v>1200</v>
      </c>
      <c r="F1047" s="5" t="s">
        <v>13</v>
      </c>
      <c r="G1047" s="5" t="s">
        <v>324</v>
      </c>
      <c r="H1047" s="1">
        <f t="shared" si="33"/>
        <v>3600</v>
      </c>
    </row>
    <row r="1048" spans="1:8" x14ac:dyDescent="0.3">
      <c r="A1048" s="2" t="str">
        <f t="shared" si="32"/>
        <v>May-2024</v>
      </c>
      <c r="B1048" s="2">
        <v>45436.392928622685</v>
      </c>
      <c r="C1048" s="5" t="s">
        <v>36</v>
      </c>
      <c r="D1048" s="3">
        <v>2</v>
      </c>
      <c r="E1048" s="4">
        <v>1800</v>
      </c>
      <c r="F1048" s="5" t="s">
        <v>13</v>
      </c>
      <c r="G1048" s="5" t="s">
        <v>438</v>
      </c>
      <c r="H1048" s="1">
        <f t="shared" si="33"/>
        <v>3600</v>
      </c>
    </row>
    <row r="1049" spans="1:8" x14ac:dyDescent="0.3">
      <c r="A1049" s="2" t="str">
        <f t="shared" si="32"/>
        <v>May-2024</v>
      </c>
      <c r="B1049" s="2">
        <v>45436.879919942126</v>
      </c>
      <c r="C1049" s="5" t="s">
        <v>17</v>
      </c>
      <c r="D1049" s="3">
        <v>3</v>
      </c>
      <c r="E1049" s="4">
        <v>1200</v>
      </c>
      <c r="F1049" s="5" t="s">
        <v>10</v>
      </c>
      <c r="G1049" s="5" t="s">
        <v>284</v>
      </c>
      <c r="H1049" s="1">
        <f t="shared" si="33"/>
        <v>3600</v>
      </c>
    </row>
    <row r="1050" spans="1:8" x14ac:dyDescent="0.3">
      <c r="A1050" s="2" t="str">
        <f t="shared" si="32"/>
        <v>May-2024</v>
      </c>
      <c r="B1050" s="2">
        <v>45437.366911273151</v>
      </c>
      <c r="C1050" s="5" t="s">
        <v>26</v>
      </c>
      <c r="D1050" s="3">
        <v>2</v>
      </c>
      <c r="E1050" s="4">
        <v>3500</v>
      </c>
      <c r="F1050" s="5" t="s">
        <v>13</v>
      </c>
      <c r="G1050" s="5" t="s">
        <v>427</v>
      </c>
      <c r="H1050" s="1">
        <f t="shared" si="33"/>
        <v>7000</v>
      </c>
    </row>
    <row r="1051" spans="1:8" x14ac:dyDescent="0.3">
      <c r="A1051" s="2" t="str">
        <f t="shared" si="32"/>
        <v>May-2024</v>
      </c>
      <c r="B1051" s="2">
        <v>45437.853902604169</v>
      </c>
      <c r="C1051" s="5" t="s">
        <v>26</v>
      </c>
      <c r="D1051" s="3">
        <v>6</v>
      </c>
      <c r="E1051" s="4">
        <v>3500</v>
      </c>
      <c r="F1051" s="5" t="s">
        <v>24</v>
      </c>
      <c r="G1051" s="5" t="s">
        <v>233</v>
      </c>
      <c r="H1051" s="1">
        <f t="shared" si="33"/>
        <v>21000</v>
      </c>
    </row>
    <row r="1052" spans="1:8" x14ac:dyDescent="0.3">
      <c r="A1052" s="2" t="str">
        <f t="shared" si="32"/>
        <v>May-2024</v>
      </c>
      <c r="B1052" s="2">
        <v>45438.340893923611</v>
      </c>
      <c r="C1052" s="5" t="s">
        <v>9</v>
      </c>
      <c r="D1052" s="3">
        <v>4</v>
      </c>
      <c r="E1052" s="4">
        <v>150</v>
      </c>
      <c r="F1052" s="5" t="s">
        <v>24</v>
      </c>
      <c r="G1052" s="5" t="s">
        <v>294</v>
      </c>
      <c r="H1052" s="1">
        <f t="shared" si="33"/>
        <v>600</v>
      </c>
    </row>
    <row r="1053" spans="1:8" x14ac:dyDescent="0.3">
      <c r="A1053" s="2" t="str">
        <f t="shared" si="32"/>
        <v>May-2024</v>
      </c>
      <c r="B1053" s="2">
        <v>45438.827885254628</v>
      </c>
      <c r="C1053" s="5" t="s">
        <v>26</v>
      </c>
      <c r="D1053" s="3">
        <v>2</v>
      </c>
      <c r="E1053" s="4">
        <v>1200</v>
      </c>
      <c r="F1053" s="5" t="s">
        <v>10</v>
      </c>
      <c r="G1053" s="5" t="s">
        <v>312</v>
      </c>
      <c r="H1053" s="1">
        <f t="shared" si="33"/>
        <v>2400</v>
      </c>
    </row>
    <row r="1054" spans="1:8" x14ac:dyDescent="0.3">
      <c r="A1054" s="2" t="str">
        <f t="shared" si="32"/>
        <v>May-2024</v>
      </c>
      <c r="B1054" s="2">
        <v>45439.314876585646</v>
      </c>
      <c r="C1054" s="5" t="s">
        <v>12</v>
      </c>
      <c r="D1054" s="3">
        <v>2</v>
      </c>
      <c r="E1054" s="4">
        <v>1800</v>
      </c>
      <c r="F1054" s="5" t="s">
        <v>13</v>
      </c>
      <c r="G1054" s="5" t="s">
        <v>461</v>
      </c>
      <c r="H1054" s="1">
        <f t="shared" si="33"/>
        <v>3600</v>
      </c>
    </row>
    <row r="1055" spans="1:8" x14ac:dyDescent="0.3">
      <c r="A1055" s="2" t="str">
        <f t="shared" si="32"/>
        <v>May-2024</v>
      </c>
      <c r="B1055" s="2">
        <v>45439.801867916663</v>
      </c>
      <c r="C1055" s="5" t="s">
        <v>6</v>
      </c>
      <c r="D1055" s="3">
        <v>1</v>
      </c>
      <c r="E1055" s="4">
        <v>1200</v>
      </c>
      <c r="F1055" s="5" t="s">
        <v>13</v>
      </c>
      <c r="G1055" s="5" t="s">
        <v>259</v>
      </c>
      <c r="H1055" s="1">
        <f t="shared" si="33"/>
        <v>1200</v>
      </c>
    </row>
    <row r="1056" spans="1:8" x14ac:dyDescent="0.3">
      <c r="A1056" s="2" t="str">
        <f t="shared" si="32"/>
        <v>May-2024</v>
      </c>
      <c r="B1056" s="2">
        <v>45440.288859236112</v>
      </c>
      <c r="C1056" s="5" t="s">
        <v>9</v>
      </c>
      <c r="D1056" s="3">
        <v>2</v>
      </c>
      <c r="E1056" s="4">
        <v>700</v>
      </c>
      <c r="F1056" s="5" t="s">
        <v>13</v>
      </c>
      <c r="G1056" s="5" t="s">
        <v>393</v>
      </c>
      <c r="H1056" s="1">
        <f t="shared" si="33"/>
        <v>1400</v>
      </c>
    </row>
    <row r="1057" spans="1:8" x14ac:dyDescent="0.3">
      <c r="A1057" s="2" t="str">
        <f t="shared" si="32"/>
        <v>May-2024</v>
      </c>
      <c r="B1057" s="2">
        <v>45440.77585056713</v>
      </c>
      <c r="C1057" s="5" t="s">
        <v>12</v>
      </c>
      <c r="D1057" s="3">
        <v>1</v>
      </c>
      <c r="E1057" s="4">
        <v>700</v>
      </c>
      <c r="F1057" s="5" t="s">
        <v>7</v>
      </c>
      <c r="G1057" s="5" t="s">
        <v>183</v>
      </c>
      <c r="H1057" s="1">
        <f t="shared" si="33"/>
        <v>700</v>
      </c>
    </row>
    <row r="1058" spans="1:8" x14ac:dyDescent="0.3">
      <c r="A1058" s="2" t="str">
        <f t="shared" si="32"/>
        <v>May-2024</v>
      </c>
      <c r="B1058" s="2">
        <v>45441.262841898148</v>
      </c>
      <c r="C1058" s="5" t="s">
        <v>12</v>
      </c>
      <c r="D1058" s="3">
        <v>5</v>
      </c>
      <c r="E1058" s="4">
        <v>1800</v>
      </c>
      <c r="F1058" s="5" t="s">
        <v>13</v>
      </c>
      <c r="G1058" s="5" t="s">
        <v>123</v>
      </c>
      <c r="H1058" s="1">
        <f t="shared" si="33"/>
        <v>9000</v>
      </c>
    </row>
    <row r="1059" spans="1:8" x14ac:dyDescent="0.3">
      <c r="A1059" s="2" t="str">
        <f t="shared" si="32"/>
        <v>May-2024</v>
      </c>
      <c r="B1059" s="2">
        <v>45441.749833217589</v>
      </c>
      <c r="C1059" s="5" t="s">
        <v>36</v>
      </c>
      <c r="D1059" s="3">
        <v>6</v>
      </c>
      <c r="E1059" s="4">
        <v>150</v>
      </c>
      <c r="F1059" s="5" t="s">
        <v>24</v>
      </c>
      <c r="G1059" s="5" t="s">
        <v>32</v>
      </c>
      <c r="H1059" s="1">
        <f t="shared" si="33"/>
        <v>900</v>
      </c>
    </row>
    <row r="1060" spans="1:8" x14ac:dyDescent="0.3">
      <c r="A1060" s="2" t="str">
        <f t="shared" si="32"/>
        <v>May-2024</v>
      </c>
      <c r="B1060" s="2">
        <v>45442.236824548614</v>
      </c>
      <c r="C1060" s="5" t="s">
        <v>26</v>
      </c>
      <c r="D1060" s="3">
        <v>1</v>
      </c>
      <c r="E1060" s="4">
        <v>150</v>
      </c>
      <c r="F1060" s="5" t="s">
        <v>24</v>
      </c>
      <c r="G1060" s="5" t="s">
        <v>15</v>
      </c>
      <c r="H1060" s="1">
        <f t="shared" si="33"/>
        <v>150</v>
      </c>
    </row>
    <row r="1061" spans="1:8" x14ac:dyDescent="0.3">
      <c r="A1061" s="2" t="str">
        <f t="shared" si="32"/>
        <v>May-2024</v>
      </c>
      <c r="B1061" s="2">
        <v>45442.723815879632</v>
      </c>
      <c r="C1061" s="5" t="s">
        <v>17</v>
      </c>
      <c r="D1061" s="3">
        <v>4</v>
      </c>
      <c r="E1061" s="4">
        <v>3500</v>
      </c>
      <c r="F1061" s="5" t="s">
        <v>7</v>
      </c>
      <c r="G1061" s="5" t="s">
        <v>345</v>
      </c>
      <c r="H1061" s="1">
        <f t="shared" si="33"/>
        <v>14000</v>
      </c>
    </row>
    <row r="1062" spans="1:8" x14ac:dyDescent="0.3">
      <c r="A1062" s="2" t="str">
        <f t="shared" si="32"/>
        <v>May-2024</v>
      </c>
      <c r="B1062" s="2">
        <v>45443.210807199073</v>
      </c>
      <c r="C1062" s="5" t="s">
        <v>17</v>
      </c>
      <c r="D1062" s="3">
        <v>6</v>
      </c>
      <c r="E1062" s="4">
        <v>3500</v>
      </c>
      <c r="F1062" s="5" t="s">
        <v>7</v>
      </c>
      <c r="G1062" s="5" t="s">
        <v>272</v>
      </c>
      <c r="H1062" s="1">
        <f t="shared" si="33"/>
        <v>21000</v>
      </c>
    </row>
    <row r="1063" spans="1:8" x14ac:dyDescent="0.3">
      <c r="A1063" s="2" t="str">
        <f t="shared" si="32"/>
        <v>May-2024</v>
      </c>
      <c r="B1063" s="2">
        <v>45443.697798530091</v>
      </c>
      <c r="C1063" s="5" t="s">
        <v>9</v>
      </c>
      <c r="D1063" s="3">
        <v>1</v>
      </c>
      <c r="E1063" s="4">
        <v>450</v>
      </c>
      <c r="F1063" s="5" t="s">
        <v>13</v>
      </c>
      <c r="G1063" s="5" t="s">
        <v>266</v>
      </c>
      <c r="H1063" s="1">
        <f t="shared" si="33"/>
        <v>450</v>
      </c>
    </row>
    <row r="1064" spans="1:8" x14ac:dyDescent="0.3">
      <c r="A1064" s="2" t="str">
        <f t="shared" si="32"/>
        <v>Jun-2024</v>
      </c>
      <c r="B1064" s="2">
        <v>45444.184789861109</v>
      </c>
      <c r="C1064" s="5" t="s">
        <v>17</v>
      </c>
      <c r="D1064" s="3">
        <v>6</v>
      </c>
      <c r="E1064" s="4">
        <v>1800</v>
      </c>
      <c r="F1064" s="5" t="s">
        <v>10</v>
      </c>
      <c r="G1064" s="5" t="s">
        <v>334</v>
      </c>
      <c r="H1064" s="1">
        <f t="shared" si="33"/>
        <v>10800</v>
      </c>
    </row>
    <row r="1065" spans="1:8" x14ac:dyDescent="0.3">
      <c r="A1065" s="2" t="str">
        <f t="shared" si="32"/>
        <v>Jun-2024</v>
      </c>
      <c r="B1065" s="2">
        <v>45444.671781192126</v>
      </c>
      <c r="C1065" s="5" t="s">
        <v>6</v>
      </c>
      <c r="D1065" s="3">
        <v>6</v>
      </c>
      <c r="E1065" s="4">
        <v>1200</v>
      </c>
      <c r="F1065" s="5" t="s">
        <v>7</v>
      </c>
      <c r="G1065" s="5" t="s">
        <v>414</v>
      </c>
      <c r="H1065" s="1">
        <f t="shared" si="33"/>
        <v>7200</v>
      </c>
    </row>
    <row r="1066" spans="1:8" x14ac:dyDescent="0.3">
      <c r="A1066" s="2" t="str">
        <f t="shared" si="32"/>
        <v>Jun-2024</v>
      </c>
      <c r="B1066" s="2">
        <v>45445.158772511575</v>
      </c>
      <c r="C1066" s="5" t="s">
        <v>17</v>
      </c>
      <c r="D1066" s="3">
        <v>6</v>
      </c>
      <c r="E1066" s="4">
        <v>1800</v>
      </c>
      <c r="F1066" s="5" t="s">
        <v>7</v>
      </c>
      <c r="G1066" s="5" t="s">
        <v>206</v>
      </c>
      <c r="H1066" s="1">
        <f t="shared" si="33"/>
        <v>10800</v>
      </c>
    </row>
    <row r="1067" spans="1:8" x14ac:dyDescent="0.3">
      <c r="A1067" s="2" t="str">
        <f t="shared" si="32"/>
        <v>Jun-2024</v>
      </c>
      <c r="B1067" s="2">
        <v>45445.645763842593</v>
      </c>
      <c r="C1067" s="5" t="s">
        <v>9</v>
      </c>
      <c r="D1067" s="3">
        <v>5</v>
      </c>
      <c r="E1067" s="4">
        <v>450</v>
      </c>
      <c r="F1067" s="5" t="s">
        <v>13</v>
      </c>
      <c r="G1067" s="5" t="s">
        <v>408</v>
      </c>
      <c r="H1067" s="1">
        <f t="shared" si="33"/>
        <v>2250</v>
      </c>
    </row>
    <row r="1068" spans="1:8" x14ac:dyDescent="0.3">
      <c r="A1068" s="2" t="str">
        <f t="shared" si="32"/>
        <v>Jun-2024</v>
      </c>
      <c r="B1068" s="2">
        <v>45446.13275517361</v>
      </c>
      <c r="C1068" s="5" t="s">
        <v>17</v>
      </c>
      <c r="D1068" s="3">
        <v>4</v>
      </c>
      <c r="E1068" s="4">
        <v>3500</v>
      </c>
      <c r="F1068" s="5" t="s">
        <v>13</v>
      </c>
      <c r="G1068" s="5" t="s">
        <v>137</v>
      </c>
      <c r="H1068" s="1">
        <f t="shared" si="33"/>
        <v>14000</v>
      </c>
    </row>
    <row r="1069" spans="1:8" x14ac:dyDescent="0.3">
      <c r="A1069" s="2" t="str">
        <f t="shared" si="32"/>
        <v>Jun-2024</v>
      </c>
      <c r="B1069" s="2">
        <v>45446.619746493052</v>
      </c>
      <c r="C1069" s="5" t="s">
        <v>6</v>
      </c>
      <c r="D1069" s="3">
        <v>3</v>
      </c>
      <c r="E1069" s="4">
        <v>1800</v>
      </c>
      <c r="F1069" s="5" t="s">
        <v>7</v>
      </c>
      <c r="G1069" s="5" t="s">
        <v>273</v>
      </c>
      <c r="H1069" s="1">
        <f t="shared" si="33"/>
        <v>5400</v>
      </c>
    </row>
    <row r="1070" spans="1:8" x14ac:dyDescent="0.3">
      <c r="A1070" s="2" t="str">
        <f t="shared" si="32"/>
        <v>Jun-2024</v>
      </c>
      <c r="B1070" s="2">
        <v>45447.106737824077</v>
      </c>
      <c r="C1070" s="5" t="s">
        <v>36</v>
      </c>
      <c r="D1070" s="3">
        <v>3</v>
      </c>
      <c r="E1070" s="4">
        <v>1800</v>
      </c>
      <c r="F1070" s="5" t="s">
        <v>10</v>
      </c>
      <c r="G1070" s="5" t="s">
        <v>301</v>
      </c>
      <c r="H1070" s="1">
        <f t="shared" si="33"/>
        <v>5400</v>
      </c>
    </row>
    <row r="1071" spans="1:8" x14ac:dyDescent="0.3">
      <c r="A1071" s="2" t="str">
        <f t="shared" si="32"/>
        <v>Jun-2024</v>
      </c>
      <c r="B1071" s="2">
        <v>45447.593729155094</v>
      </c>
      <c r="C1071" s="5" t="s">
        <v>9</v>
      </c>
      <c r="D1071" s="3">
        <v>1</v>
      </c>
      <c r="E1071" s="4">
        <v>3500</v>
      </c>
      <c r="F1071" s="5" t="s">
        <v>7</v>
      </c>
      <c r="G1071" s="5" t="s">
        <v>71</v>
      </c>
      <c r="H1071" s="1">
        <f t="shared" si="33"/>
        <v>3500</v>
      </c>
    </row>
    <row r="1072" spans="1:8" x14ac:dyDescent="0.3">
      <c r="A1072" s="2" t="str">
        <f t="shared" si="32"/>
        <v>Jun-2024</v>
      </c>
      <c r="B1072" s="2">
        <v>45448.080720474536</v>
      </c>
      <c r="C1072" s="5" t="s">
        <v>36</v>
      </c>
      <c r="D1072" s="3">
        <v>6</v>
      </c>
      <c r="E1072" s="4">
        <v>450</v>
      </c>
      <c r="F1072" s="5" t="s">
        <v>13</v>
      </c>
      <c r="G1072" s="5" t="s">
        <v>319</v>
      </c>
      <c r="H1072" s="1">
        <f t="shared" si="33"/>
        <v>2700</v>
      </c>
    </row>
    <row r="1073" spans="1:8" x14ac:dyDescent="0.3">
      <c r="A1073" s="2" t="str">
        <f t="shared" si="32"/>
        <v>Jun-2024</v>
      </c>
      <c r="B1073" s="2">
        <v>45448.567711805554</v>
      </c>
      <c r="C1073" s="5" t="s">
        <v>36</v>
      </c>
      <c r="D1073" s="3">
        <v>1</v>
      </c>
      <c r="E1073" s="4">
        <v>3500</v>
      </c>
      <c r="F1073" s="5" t="s">
        <v>13</v>
      </c>
      <c r="G1073" s="5" t="s">
        <v>86</v>
      </c>
      <c r="H1073" s="1">
        <f t="shared" si="33"/>
        <v>3500</v>
      </c>
    </row>
    <row r="1074" spans="1:8" x14ac:dyDescent="0.3">
      <c r="A1074" s="2" t="str">
        <f t="shared" si="32"/>
        <v>Jun-2024</v>
      </c>
      <c r="B1074" s="2">
        <v>45449.054703136571</v>
      </c>
      <c r="C1074" s="5" t="s">
        <v>36</v>
      </c>
      <c r="D1074" s="3">
        <v>5</v>
      </c>
      <c r="E1074" s="4">
        <v>150</v>
      </c>
      <c r="F1074" s="5" t="s">
        <v>7</v>
      </c>
      <c r="G1074" s="5" t="s">
        <v>462</v>
      </c>
      <c r="H1074" s="1">
        <f t="shared" si="33"/>
        <v>750</v>
      </c>
    </row>
    <row r="1075" spans="1:8" x14ac:dyDescent="0.3">
      <c r="A1075" s="2" t="str">
        <f t="shared" si="32"/>
        <v>Jun-2024</v>
      </c>
      <c r="B1075" s="2">
        <v>45449.541694467589</v>
      </c>
      <c r="C1075" s="5" t="s">
        <v>12</v>
      </c>
      <c r="D1075" s="3">
        <v>5</v>
      </c>
      <c r="E1075" s="4">
        <v>1200</v>
      </c>
      <c r="F1075" s="5" t="s">
        <v>10</v>
      </c>
      <c r="G1075" s="5" t="s">
        <v>35</v>
      </c>
      <c r="H1075" s="1">
        <f t="shared" si="33"/>
        <v>6000</v>
      </c>
    </row>
    <row r="1076" spans="1:8" x14ac:dyDescent="0.3">
      <c r="A1076" s="2" t="str">
        <f t="shared" si="32"/>
        <v>Jun-2024</v>
      </c>
      <c r="B1076" s="2">
        <v>45450.028685787038</v>
      </c>
      <c r="C1076" s="5" t="s">
        <v>26</v>
      </c>
      <c r="D1076" s="3">
        <v>2</v>
      </c>
      <c r="E1076" s="4">
        <v>3500</v>
      </c>
      <c r="F1076" s="5" t="s">
        <v>7</v>
      </c>
      <c r="G1076" s="5" t="s">
        <v>463</v>
      </c>
      <c r="H1076" s="1">
        <f t="shared" si="33"/>
        <v>7000</v>
      </c>
    </row>
    <row r="1077" spans="1:8" x14ac:dyDescent="0.3">
      <c r="A1077" s="2" t="str">
        <f t="shared" si="32"/>
        <v>Jun-2024</v>
      </c>
      <c r="B1077" s="2">
        <v>45450.515677118055</v>
      </c>
      <c r="C1077" s="5" t="s">
        <v>12</v>
      </c>
      <c r="D1077" s="3">
        <v>5</v>
      </c>
      <c r="E1077" s="4">
        <v>450</v>
      </c>
      <c r="F1077" s="5" t="s">
        <v>7</v>
      </c>
      <c r="G1077" s="5" t="s">
        <v>81</v>
      </c>
      <c r="H1077" s="1">
        <f t="shared" si="33"/>
        <v>2250</v>
      </c>
    </row>
    <row r="1078" spans="1:8" x14ac:dyDescent="0.3">
      <c r="A1078" s="2" t="str">
        <f t="shared" si="32"/>
        <v>Jun-2024</v>
      </c>
      <c r="B1078" s="2">
        <v>45451.002668449073</v>
      </c>
      <c r="C1078" s="5" t="s">
        <v>26</v>
      </c>
      <c r="D1078" s="3">
        <v>2</v>
      </c>
      <c r="E1078" s="4">
        <v>700</v>
      </c>
      <c r="F1078" s="5" t="s">
        <v>13</v>
      </c>
      <c r="G1078" s="5" t="s">
        <v>206</v>
      </c>
      <c r="H1078" s="1">
        <f t="shared" si="33"/>
        <v>1400</v>
      </c>
    </row>
    <row r="1079" spans="1:8" x14ac:dyDescent="0.3">
      <c r="A1079" s="2" t="str">
        <f t="shared" si="32"/>
        <v>Jun-2024</v>
      </c>
      <c r="B1079" s="2">
        <v>45451.489659768522</v>
      </c>
      <c r="C1079" s="5" t="s">
        <v>36</v>
      </c>
      <c r="D1079" s="3">
        <v>4</v>
      </c>
      <c r="E1079" s="4">
        <v>150</v>
      </c>
      <c r="F1079" s="5" t="s">
        <v>10</v>
      </c>
      <c r="G1079" s="5" t="s">
        <v>53</v>
      </c>
      <c r="H1079" s="1">
        <f t="shared" si="33"/>
        <v>600</v>
      </c>
    </row>
    <row r="1080" spans="1:8" x14ac:dyDescent="0.3">
      <c r="A1080" s="2" t="str">
        <f t="shared" si="32"/>
        <v>Jun-2024</v>
      </c>
      <c r="B1080" s="2">
        <v>45451.97665109954</v>
      </c>
      <c r="C1080" s="5" t="s">
        <v>9</v>
      </c>
      <c r="D1080" s="3">
        <v>1</v>
      </c>
      <c r="E1080" s="4">
        <v>700</v>
      </c>
      <c r="F1080" s="5" t="s">
        <v>24</v>
      </c>
      <c r="G1080" s="5" t="s">
        <v>456</v>
      </c>
      <c r="H1080" s="1">
        <f t="shared" si="33"/>
        <v>700</v>
      </c>
    </row>
    <row r="1081" spans="1:8" x14ac:dyDescent="0.3">
      <c r="A1081" s="2" t="str">
        <f t="shared" si="32"/>
        <v>Jun-2024</v>
      </c>
      <c r="B1081" s="2">
        <v>45452.463642430557</v>
      </c>
      <c r="C1081" s="5" t="s">
        <v>26</v>
      </c>
      <c r="D1081" s="3">
        <v>4</v>
      </c>
      <c r="E1081" s="4">
        <v>3500</v>
      </c>
      <c r="F1081" s="5" t="s">
        <v>10</v>
      </c>
      <c r="G1081" s="5" t="s">
        <v>167</v>
      </c>
      <c r="H1081" s="1">
        <f t="shared" si="33"/>
        <v>14000</v>
      </c>
    </row>
    <row r="1082" spans="1:8" x14ac:dyDescent="0.3">
      <c r="A1082" s="2" t="str">
        <f t="shared" si="32"/>
        <v>Jun-2024</v>
      </c>
      <c r="B1082" s="2">
        <v>45452.950633761575</v>
      </c>
      <c r="C1082" s="5" t="s">
        <v>6</v>
      </c>
      <c r="D1082" s="3">
        <v>5</v>
      </c>
      <c r="E1082" s="4">
        <v>150</v>
      </c>
      <c r="F1082" s="5" t="s">
        <v>7</v>
      </c>
      <c r="G1082" s="5" t="s">
        <v>187</v>
      </c>
      <c r="H1082" s="1">
        <f t="shared" si="33"/>
        <v>750</v>
      </c>
    </row>
    <row r="1083" spans="1:8" x14ac:dyDescent="0.3">
      <c r="A1083" s="2" t="str">
        <f t="shared" si="32"/>
        <v>Jun-2024</v>
      </c>
      <c r="B1083" s="2">
        <v>45453.437625081016</v>
      </c>
      <c r="C1083" s="5" t="s">
        <v>6</v>
      </c>
      <c r="D1083" s="3">
        <v>4</v>
      </c>
      <c r="E1083" s="4">
        <v>1200</v>
      </c>
      <c r="F1083" s="5" t="s">
        <v>7</v>
      </c>
      <c r="G1083" s="5" t="s">
        <v>22</v>
      </c>
      <c r="H1083" s="1">
        <f t="shared" si="33"/>
        <v>4800</v>
      </c>
    </row>
    <row r="1084" spans="1:8" x14ac:dyDescent="0.3">
      <c r="A1084" s="2" t="str">
        <f t="shared" si="32"/>
        <v>Jun-2024</v>
      </c>
      <c r="B1084" s="2">
        <v>45453.924616412034</v>
      </c>
      <c r="C1084" s="5" t="s">
        <v>17</v>
      </c>
      <c r="D1084" s="3">
        <v>4</v>
      </c>
      <c r="E1084" s="4">
        <v>3500</v>
      </c>
      <c r="F1084" s="5" t="s">
        <v>7</v>
      </c>
      <c r="G1084" s="5" t="s">
        <v>129</v>
      </c>
      <c r="H1084" s="1">
        <f t="shared" si="33"/>
        <v>14000</v>
      </c>
    </row>
    <row r="1085" spans="1:8" x14ac:dyDescent="0.3">
      <c r="A1085" s="2" t="str">
        <f t="shared" si="32"/>
        <v>Jun-2024</v>
      </c>
      <c r="B1085" s="2">
        <v>45454.411607743059</v>
      </c>
      <c r="C1085" s="5" t="s">
        <v>26</v>
      </c>
      <c r="D1085" s="3">
        <v>4</v>
      </c>
      <c r="E1085" s="4">
        <v>1200</v>
      </c>
      <c r="F1085" s="5" t="s">
        <v>10</v>
      </c>
      <c r="G1085" s="5" t="s">
        <v>424</v>
      </c>
      <c r="H1085" s="1">
        <f t="shared" si="33"/>
        <v>4800</v>
      </c>
    </row>
    <row r="1086" spans="1:8" x14ac:dyDescent="0.3">
      <c r="A1086" s="2" t="str">
        <f t="shared" si="32"/>
        <v>Jun-2024</v>
      </c>
      <c r="B1086" s="2">
        <v>45454.898599062501</v>
      </c>
      <c r="C1086" s="5" t="s">
        <v>9</v>
      </c>
      <c r="D1086" s="3">
        <v>5</v>
      </c>
      <c r="E1086" s="4">
        <v>1800</v>
      </c>
      <c r="F1086" s="5" t="s">
        <v>13</v>
      </c>
      <c r="G1086" s="5" t="s">
        <v>464</v>
      </c>
      <c r="H1086" s="1">
        <f t="shared" si="33"/>
        <v>9000</v>
      </c>
    </row>
    <row r="1087" spans="1:8" x14ac:dyDescent="0.3">
      <c r="A1087" s="2" t="str">
        <f t="shared" si="32"/>
        <v>Jun-2024</v>
      </c>
      <c r="B1087" s="2">
        <v>45455.385590393518</v>
      </c>
      <c r="C1087" s="5" t="s">
        <v>12</v>
      </c>
      <c r="D1087" s="3">
        <v>6</v>
      </c>
      <c r="E1087" s="4">
        <v>700</v>
      </c>
      <c r="F1087" s="5" t="s">
        <v>7</v>
      </c>
      <c r="G1087" s="5" t="s">
        <v>126</v>
      </c>
      <c r="H1087" s="1">
        <f t="shared" si="33"/>
        <v>4200</v>
      </c>
    </row>
    <row r="1088" spans="1:8" x14ac:dyDescent="0.3">
      <c r="A1088" s="2" t="str">
        <f t="shared" si="32"/>
        <v>Jun-2024</v>
      </c>
      <c r="B1088" s="2">
        <v>45455.872581724536</v>
      </c>
      <c r="C1088" s="5" t="s">
        <v>36</v>
      </c>
      <c r="D1088" s="3">
        <v>4</v>
      </c>
      <c r="E1088" s="4">
        <v>150</v>
      </c>
      <c r="F1088" s="5" t="s">
        <v>7</v>
      </c>
      <c r="G1088" s="5" t="s">
        <v>329</v>
      </c>
      <c r="H1088" s="1">
        <f t="shared" si="33"/>
        <v>600</v>
      </c>
    </row>
    <row r="1089" spans="1:8" x14ac:dyDescent="0.3">
      <c r="A1089" s="2" t="str">
        <f t="shared" si="32"/>
        <v>Jun-2024</v>
      </c>
      <c r="B1089" s="2">
        <v>45456.359573043985</v>
      </c>
      <c r="C1089" s="5" t="s">
        <v>17</v>
      </c>
      <c r="D1089" s="3">
        <v>2</v>
      </c>
      <c r="E1089" s="4">
        <v>1200</v>
      </c>
      <c r="F1089" s="5" t="s">
        <v>10</v>
      </c>
      <c r="G1089" s="5" t="s">
        <v>216</v>
      </c>
      <c r="H1089" s="1">
        <f t="shared" si="33"/>
        <v>2400</v>
      </c>
    </row>
    <row r="1090" spans="1:8" x14ac:dyDescent="0.3">
      <c r="A1090" s="2" t="str">
        <f t="shared" si="32"/>
        <v>Jun-2024</v>
      </c>
      <c r="B1090" s="2">
        <v>45456.846564375002</v>
      </c>
      <c r="C1090" s="5" t="s">
        <v>6</v>
      </c>
      <c r="D1090" s="3">
        <v>5</v>
      </c>
      <c r="E1090" s="4">
        <v>450</v>
      </c>
      <c r="F1090" s="5" t="s">
        <v>24</v>
      </c>
      <c r="G1090" s="5" t="s">
        <v>188</v>
      </c>
      <c r="H1090" s="1">
        <f t="shared" si="33"/>
        <v>2250</v>
      </c>
    </row>
    <row r="1091" spans="1:8" x14ac:dyDescent="0.3">
      <c r="A1091" s="2" t="str">
        <f t="shared" ref="A1091:A1154" si="34">TEXT(B1091, "mmm-yyyy")</f>
        <v>Jun-2024</v>
      </c>
      <c r="B1091" s="2">
        <v>45457.33355570602</v>
      </c>
      <c r="C1091" s="5" t="s">
        <v>12</v>
      </c>
      <c r="D1091" s="3">
        <v>4</v>
      </c>
      <c r="E1091" s="4">
        <v>1200</v>
      </c>
      <c r="F1091" s="5" t="s">
        <v>24</v>
      </c>
      <c r="G1091" s="5" t="s">
        <v>155</v>
      </c>
      <c r="H1091" s="1">
        <f t="shared" ref="H1091:H1154" si="35" xml:space="preserve"> D1091 * E1091</f>
        <v>4800</v>
      </c>
    </row>
    <row r="1092" spans="1:8" x14ac:dyDescent="0.3">
      <c r="A1092" s="2" t="str">
        <f t="shared" si="34"/>
        <v>Jun-2024</v>
      </c>
      <c r="B1092" s="2">
        <v>45457.820547037038</v>
      </c>
      <c r="C1092" s="5" t="s">
        <v>12</v>
      </c>
      <c r="D1092" s="3">
        <v>6</v>
      </c>
      <c r="E1092" s="4">
        <v>450</v>
      </c>
      <c r="F1092" s="5" t="s">
        <v>13</v>
      </c>
      <c r="G1092" s="5" t="s">
        <v>391</v>
      </c>
      <c r="H1092" s="1">
        <f t="shared" si="35"/>
        <v>2700</v>
      </c>
    </row>
    <row r="1093" spans="1:8" x14ac:dyDescent="0.3">
      <c r="A1093" s="2" t="str">
        <f t="shared" si="34"/>
        <v>Jun-2024</v>
      </c>
      <c r="B1093" s="2">
        <v>45458.307538356479</v>
      </c>
      <c r="C1093" s="5" t="s">
        <v>36</v>
      </c>
      <c r="D1093" s="3">
        <v>5</v>
      </c>
      <c r="E1093" s="4">
        <v>3500</v>
      </c>
      <c r="F1093" s="5" t="s">
        <v>13</v>
      </c>
      <c r="G1093" s="5" t="s">
        <v>261</v>
      </c>
      <c r="H1093" s="1">
        <f t="shared" si="35"/>
        <v>17500</v>
      </c>
    </row>
    <row r="1094" spans="1:8" x14ac:dyDescent="0.3">
      <c r="A1094" s="2" t="str">
        <f t="shared" si="34"/>
        <v>Jun-2024</v>
      </c>
      <c r="B1094" s="2">
        <v>45458.794529687497</v>
      </c>
      <c r="C1094" s="5" t="s">
        <v>26</v>
      </c>
      <c r="D1094" s="3">
        <v>3</v>
      </c>
      <c r="E1094" s="4">
        <v>150</v>
      </c>
      <c r="F1094" s="5" t="s">
        <v>7</v>
      </c>
      <c r="G1094" s="5" t="s">
        <v>441</v>
      </c>
      <c r="H1094" s="1">
        <f t="shared" si="35"/>
        <v>450</v>
      </c>
    </row>
    <row r="1095" spans="1:8" x14ac:dyDescent="0.3">
      <c r="A1095" s="2" t="str">
        <f t="shared" si="34"/>
        <v>Jun-2024</v>
      </c>
      <c r="B1095" s="2">
        <v>45459.281521018522</v>
      </c>
      <c r="C1095" s="5" t="s">
        <v>6</v>
      </c>
      <c r="D1095" s="3">
        <v>6</v>
      </c>
      <c r="E1095" s="4">
        <v>1200</v>
      </c>
      <c r="F1095" s="5" t="s">
        <v>10</v>
      </c>
      <c r="G1095" s="5" t="s">
        <v>465</v>
      </c>
      <c r="H1095" s="1">
        <f t="shared" si="35"/>
        <v>7200</v>
      </c>
    </row>
    <row r="1096" spans="1:8" x14ac:dyDescent="0.3">
      <c r="A1096" s="2" t="str">
        <f t="shared" si="34"/>
        <v>Jun-2024</v>
      </c>
      <c r="B1096" s="2">
        <v>45459.768512337963</v>
      </c>
      <c r="C1096" s="5" t="s">
        <v>9</v>
      </c>
      <c r="D1096" s="3">
        <v>2</v>
      </c>
      <c r="E1096" s="4">
        <v>1200</v>
      </c>
      <c r="F1096" s="5" t="s">
        <v>7</v>
      </c>
      <c r="G1096" s="5" t="s">
        <v>439</v>
      </c>
      <c r="H1096" s="1">
        <f t="shared" si="35"/>
        <v>2400</v>
      </c>
    </row>
    <row r="1097" spans="1:8" x14ac:dyDescent="0.3">
      <c r="A1097" s="2" t="str">
        <f t="shared" si="34"/>
        <v>Jun-2024</v>
      </c>
      <c r="B1097" s="2">
        <v>45460.255503668981</v>
      </c>
      <c r="C1097" s="5" t="s">
        <v>12</v>
      </c>
      <c r="D1097" s="3">
        <v>4</v>
      </c>
      <c r="E1097" s="4">
        <v>150</v>
      </c>
      <c r="F1097" s="5" t="s">
        <v>13</v>
      </c>
      <c r="G1097" s="5" t="s">
        <v>466</v>
      </c>
      <c r="H1097" s="1">
        <f t="shared" si="35"/>
        <v>600</v>
      </c>
    </row>
    <row r="1098" spans="1:8" x14ac:dyDescent="0.3">
      <c r="A1098" s="2" t="str">
        <f t="shared" si="34"/>
        <v>Jun-2024</v>
      </c>
      <c r="B1098" s="2">
        <v>45460.742494999999</v>
      </c>
      <c r="C1098" s="5" t="s">
        <v>36</v>
      </c>
      <c r="D1098" s="3">
        <v>3</v>
      </c>
      <c r="E1098" s="4">
        <v>1200</v>
      </c>
      <c r="F1098" s="5" t="s">
        <v>10</v>
      </c>
      <c r="G1098" s="5" t="s">
        <v>467</v>
      </c>
      <c r="H1098" s="1">
        <f t="shared" si="35"/>
        <v>3600</v>
      </c>
    </row>
    <row r="1099" spans="1:8" x14ac:dyDescent="0.3">
      <c r="A1099" s="2" t="str">
        <f t="shared" si="34"/>
        <v>Jun-2024</v>
      </c>
      <c r="B1099" s="2">
        <v>45461.229486319447</v>
      </c>
      <c r="C1099" s="5" t="s">
        <v>9</v>
      </c>
      <c r="D1099" s="3">
        <v>3</v>
      </c>
      <c r="E1099" s="4">
        <v>450</v>
      </c>
      <c r="F1099" s="5" t="s">
        <v>10</v>
      </c>
      <c r="G1099" s="5" t="s">
        <v>437</v>
      </c>
      <c r="H1099" s="1">
        <f t="shared" si="35"/>
        <v>1350</v>
      </c>
    </row>
    <row r="1100" spans="1:8" x14ac:dyDescent="0.3">
      <c r="A1100" s="2" t="str">
        <f t="shared" si="34"/>
        <v>Jun-2024</v>
      </c>
      <c r="B1100" s="2">
        <v>45461.716477650465</v>
      </c>
      <c r="C1100" s="5" t="s">
        <v>26</v>
      </c>
      <c r="D1100" s="3">
        <v>5</v>
      </c>
      <c r="E1100" s="4">
        <v>1200</v>
      </c>
      <c r="F1100" s="5" t="s">
        <v>13</v>
      </c>
      <c r="G1100" s="5" t="s">
        <v>144</v>
      </c>
      <c r="H1100" s="1">
        <f t="shared" si="35"/>
        <v>6000</v>
      </c>
    </row>
    <row r="1101" spans="1:8" x14ac:dyDescent="0.3">
      <c r="A1101" s="2" t="str">
        <f t="shared" si="34"/>
        <v>Jun-2024</v>
      </c>
      <c r="B1101" s="2">
        <v>45462.203468981483</v>
      </c>
      <c r="C1101" s="5" t="s">
        <v>6</v>
      </c>
      <c r="D1101" s="3">
        <v>3</v>
      </c>
      <c r="E1101" s="4">
        <v>700</v>
      </c>
      <c r="F1101" s="5" t="s">
        <v>24</v>
      </c>
      <c r="G1101" s="5" t="s">
        <v>207</v>
      </c>
      <c r="H1101" s="1">
        <f t="shared" si="35"/>
        <v>2100</v>
      </c>
    </row>
    <row r="1102" spans="1:8" x14ac:dyDescent="0.3">
      <c r="A1102" s="2" t="str">
        <f t="shared" si="34"/>
        <v>Jun-2024</v>
      </c>
      <c r="B1102" s="2">
        <v>45462.6904603125</v>
      </c>
      <c r="C1102" s="5" t="s">
        <v>26</v>
      </c>
      <c r="D1102" s="3">
        <v>2</v>
      </c>
      <c r="E1102" s="4">
        <v>3500</v>
      </c>
      <c r="F1102" s="5" t="s">
        <v>24</v>
      </c>
      <c r="G1102" s="5" t="s">
        <v>271</v>
      </c>
      <c r="H1102" s="1">
        <f t="shared" si="35"/>
        <v>7000</v>
      </c>
    </row>
    <row r="1103" spans="1:8" x14ac:dyDescent="0.3">
      <c r="A1103" s="2" t="str">
        <f t="shared" si="34"/>
        <v>Jun-2024</v>
      </c>
      <c r="B1103" s="2">
        <v>45463.177451631942</v>
      </c>
      <c r="C1103" s="5" t="s">
        <v>12</v>
      </c>
      <c r="D1103" s="3">
        <v>2</v>
      </c>
      <c r="E1103" s="4">
        <v>1800</v>
      </c>
      <c r="F1103" s="5" t="s">
        <v>10</v>
      </c>
      <c r="G1103" s="5" t="s">
        <v>282</v>
      </c>
      <c r="H1103" s="1">
        <f t="shared" si="35"/>
        <v>3600</v>
      </c>
    </row>
    <row r="1104" spans="1:8" x14ac:dyDescent="0.3">
      <c r="A1104" s="2" t="str">
        <f t="shared" si="34"/>
        <v>Jun-2024</v>
      </c>
      <c r="B1104" s="2">
        <v>45463.66444296296</v>
      </c>
      <c r="C1104" s="5" t="s">
        <v>9</v>
      </c>
      <c r="D1104" s="3">
        <v>1</v>
      </c>
      <c r="E1104" s="4">
        <v>450</v>
      </c>
      <c r="F1104" s="5" t="s">
        <v>7</v>
      </c>
      <c r="G1104" s="5" t="s">
        <v>80</v>
      </c>
      <c r="H1104" s="1">
        <f t="shared" si="35"/>
        <v>450</v>
      </c>
    </row>
    <row r="1105" spans="1:8" x14ac:dyDescent="0.3">
      <c r="A1105" s="2" t="str">
        <f t="shared" si="34"/>
        <v>Jun-2024</v>
      </c>
      <c r="B1105" s="2">
        <v>45464.151434293984</v>
      </c>
      <c r="C1105" s="5" t="s">
        <v>9</v>
      </c>
      <c r="D1105" s="3">
        <v>2</v>
      </c>
      <c r="E1105" s="4">
        <v>700</v>
      </c>
      <c r="F1105" s="5" t="s">
        <v>24</v>
      </c>
      <c r="G1105" s="5" t="s">
        <v>362</v>
      </c>
      <c r="H1105" s="1">
        <f t="shared" si="35"/>
        <v>1400</v>
      </c>
    </row>
    <row r="1106" spans="1:8" x14ac:dyDescent="0.3">
      <c r="A1106" s="2" t="str">
        <f t="shared" si="34"/>
        <v>Jun-2024</v>
      </c>
      <c r="B1106" s="2">
        <v>45464.638425613426</v>
      </c>
      <c r="C1106" s="5" t="s">
        <v>9</v>
      </c>
      <c r="D1106" s="3">
        <v>6</v>
      </c>
      <c r="E1106" s="4">
        <v>3500</v>
      </c>
      <c r="F1106" s="5" t="s">
        <v>7</v>
      </c>
      <c r="G1106" s="5" t="s">
        <v>435</v>
      </c>
      <c r="H1106" s="1">
        <f t="shared" si="35"/>
        <v>21000</v>
      </c>
    </row>
    <row r="1107" spans="1:8" x14ac:dyDescent="0.3">
      <c r="A1107" s="2" t="str">
        <f t="shared" si="34"/>
        <v>Jun-2024</v>
      </c>
      <c r="B1107" s="2">
        <v>45465.125416944444</v>
      </c>
      <c r="C1107" s="5" t="s">
        <v>12</v>
      </c>
      <c r="D1107" s="3">
        <v>3</v>
      </c>
      <c r="E1107" s="4">
        <v>150</v>
      </c>
      <c r="F1107" s="5" t="s">
        <v>24</v>
      </c>
      <c r="G1107" s="5" t="s">
        <v>396</v>
      </c>
      <c r="H1107" s="1">
        <f t="shared" si="35"/>
        <v>450</v>
      </c>
    </row>
    <row r="1108" spans="1:8" x14ac:dyDescent="0.3">
      <c r="A1108" s="2" t="str">
        <f t="shared" si="34"/>
        <v>Jun-2024</v>
      </c>
      <c r="B1108" s="2">
        <v>45465.612408275461</v>
      </c>
      <c r="C1108" s="5" t="s">
        <v>12</v>
      </c>
      <c r="D1108" s="3">
        <v>2</v>
      </c>
      <c r="E1108" s="4">
        <v>450</v>
      </c>
      <c r="F1108" s="5" t="s">
        <v>24</v>
      </c>
      <c r="G1108" s="5" t="s">
        <v>466</v>
      </c>
      <c r="H1108" s="1">
        <f t="shared" si="35"/>
        <v>900</v>
      </c>
    </row>
    <row r="1109" spans="1:8" x14ac:dyDescent="0.3">
      <c r="A1109" s="2" t="str">
        <f t="shared" si="34"/>
        <v>Jun-2024</v>
      </c>
      <c r="B1109" s="2">
        <v>45466.09939959491</v>
      </c>
      <c r="C1109" s="5" t="s">
        <v>26</v>
      </c>
      <c r="D1109" s="3">
        <v>5</v>
      </c>
      <c r="E1109" s="4">
        <v>1800</v>
      </c>
      <c r="F1109" s="5" t="s">
        <v>7</v>
      </c>
      <c r="G1109" s="5" t="s">
        <v>254</v>
      </c>
      <c r="H1109" s="1">
        <f t="shared" si="35"/>
        <v>9000</v>
      </c>
    </row>
    <row r="1110" spans="1:8" x14ac:dyDescent="0.3">
      <c r="A1110" s="2" t="str">
        <f t="shared" si="34"/>
        <v>Jun-2024</v>
      </c>
      <c r="B1110" s="2">
        <v>45466.586390925928</v>
      </c>
      <c r="C1110" s="5" t="s">
        <v>17</v>
      </c>
      <c r="D1110" s="3">
        <v>1</v>
      </c>
      <c r="E1110" s="4">
        <v>3500</v>
      </c>
      <c r="F1110" s="5" t="s">
        <v>13</v>
      </c>
      <c r="G1110" s="5" t="s">
        <v>381</v>
      </c>
      <c r="H1110" s="1">
        <f t="shared" si="35"/>
        <v>3500</v>
      </c>
    </row>
    <row r="1111" spans="1:8" x14ac:dyDescent="0.3">
      <c r="A1111" s="2" t="str">
        <f t="shared" si="34"/>
        <v>Jun-2024</v>
      </c>
      <c r="B1111" s="2">
        <v>45467.073382256945</v>
      </c>
      <c r="C1111" s="5" t="s">
        <v>26</v>
      </c>
      <c r="D1111" s="3">
        <v>3</v>
      </c>
      <c r="E1111" s="4">
        <v>1800</v>
      </c>
      <c r="F1111" s="5" t="s">
        <v>24</v>
      </c>
      <c r="G1111" s="5" t="s">
        <v>468</v>
      </c>
      <c r="H1111" s="1">
        <f t="shared" si="35"/>
        <v>5400</v>
      </c>
    </row>
    <row r="1112" spans="1:8" x14ac:dyDescent="0.3">
      <c r="A1112" s="2" t="str">
        <f t="shared" si="34"/>
        <v>Jun-2024</v>
      </c>
      <c r="B1112" s="2">
        <v>45467.560373587963</v>
      </c>
      <c r="C1112" s="5" t="s">
        <v>6</v>
      </c>
      <c r="D1112" s="3">
        <v>1</v>
      </c>
      <c r="E1112" s="4">
        <v>150</v>
      </c>
      <c r="F1112" s="5" t="s">
        <v>24</v>
      </c>
      <c r="G1112" s="5" t="s">
        <v>159</v>
      </c>
      <c r="H1112" s="1">
        <f t="shared" si="35"/>
        <v>150</v>
      </c>
    </row>
    <row r="1113" spans="1:8" x14ac:dyDescent="0.3">
      <c r="A1113" s="2" t="str">
        <f t="shared" si="34"/>
        <v>Jun-2024</v>
      </c>
      <c r="B1113" s="2">
        <v>45468.047364907405</v>
      </c>
      <c r="C1113" s="5" t="s">
        <v>36</v>
      </c>
      <c r="D1113" s="3">
        <v>3</v>
      </c>
      <c r="E1113" s="4">
        <v>150</v>
      </c>
      <c r="F1113" s="5" t="s">
        <v>7</v>
      </c>
      <c r="G1113" s="5" t="s">
        <v>383</v>
      </c>
      <c r="H1113" s="1">
        <f t="shared" si="35"/>
        <v>450</v>
      </c>
    </row>
    <row r="1114" spans="1:8" x14ac:dyDescent="0.3">
      <c r="A1114" s="2" t="str">
        <f t="shared" si="34"/>
        <v>Jun-2024</v>
      </c>
      <c r="B1114" s="2">
        <v>45468.534356238422</v>
      </c>
      <c r="C1114" s="5" t="s">
        <v>9</v>
      </c>
      <c r="D1114" s="3">
        <v>5</v>
      </c>
      <c r="E1114" s="4">
        <v>450</v>
      </c>
      <c r="F1114" s="5" t="s">
        <v>13</v>
      </c>
      <c r="G1114" s="5" t="s">
        <v>285</v>
      </c>
      <c r="H1114" s="1">
        <f t="shared" si="35"/>
        <v>2250</v>
      </c>
    </row>
    <row r="1115" spans="1:8" x14ac:dyDescent="0.3">
      <c r="A1115" s="2" t="str">
        <f t="shared" si="34"/>
        <v>Jun-2024</v>
      </c>
      <c r="B1115" s="2">
        <v>45469.021347569447</v>
      </c>
      <c r="C1115" s="5" t="s">
        <v>17</v>
      </c>
      <c r="D1115" s="3">
        <v>1</v>
      </c>
      <c r="E1115" s="4">
        <v>1200</v>
      </c>
      <c r="F1115" s="5" t="s">
        <v>24</v>
      </c>
      <c r="G1115" s="5" t="s">
        <v>181</v>
      </c>
      <c r="H1115" s="1">
        <f t="shared" si="35"/>
        <v>1200</v>
      </c>
    </row>
    <row r="1116" spans="1:8" x14ac:dyDescent="0.3">
      <c r="A1116" s="2" t="str">
        <f t="shared" si="34"/>
        <v>Jun-2024</v>
      </c>
      <c r="B1116" s="2">
        <v>45469.508338888889</v>
      </c>
      <c r="C1116" s="5" t="s">
        <v>36</v>
      </c>
      <c r="D1116" s="3">
        <v>4</v>
      </c>
      <c r="E1116" s="4">
        <v>150</v>
      </c>
      <c r="F1116" s="5" t="s">
        <v>24</v>
      </c>
      <c r="G1116" s="5" t="s">
        <v>102</v>
      </c>
      <c r="H1116" s="1">
        <f t="shared" si="35"/>
        <v>600</v>
      </c>
    </row>
    <row r="1117" spans="1:8" x14ac:dyDescent="0.3">
      <c r="A1117" s="2" t="str">
        <f t="shared" si="34"/>
        <v>Jun-2024</v>
      </c>
      <c r="B1117" s="2">
        <v>45469.995330219906</v>
      </c>
      <c r="C1117" s="5" t="s">
        <v>17</v>
      </c>
      <c r="D1117" s="3">
        <v>6</v>
      </c>
      <c r="E1117" s="4">
        <v>3500</v>
      </c>
      <c r="F1117" s="5" t="s">
        <v>13</v>
      </c>
      <c r="G1117" s="5" t="s">
        <v>51</v>
      </c>
      <c r="H1117" s="1">
        <f t="shared" si="35"/>
        <v>21000</v>
      </c>
    </row>
    <row r="1118" spans="1:8" x14ac:dyDescent="0.3">
      <c r="A1118" s="2" t="str">
        <f t="shared" si="34"/>
        <v>Jun-2024</v>
      </c>
      <c r="B1118" s="2">
        <v>45470.482321550924</v>
      </c>
      <c r="C1118" s="5" t="s">
        <v>26</v>
      </c>
      <c r="D1118" s="3">
        <v>6</v>
      </c>
      <c r="E1118" s="4">
        <v>1200</v>
      </c>
      <c r="F1118" s="5" t="s">
        <v>24</v>
      </c>
      <c r="G1118" s="5" t="s">
        <v>284</v>
      </c>
      <c r="H1118" s="1">
        <f t="shared" si="35"/>
        <v>7200</v>
      </c>
    </row>
    <row r="1119" spans="1:8" x14ac:dyDescent="0.3">
      <c r="A1119" s="2" t="str">
        <f t="shared" si="34"/>
        <v>Jun-2024</v>
      </c>
      <c r="B1119" s="2">
        <v>45470.969312870373</v>
      </c>
      <c r="C1119" s="5" t="s">
        <v>12</v>
      </c>
      <c r="D1119" s="3">
        <v>3</v>
      </c>
      <c r="E1119" s="4">
        <v>700</v>
      </c>
      <c r="F1119" s="5" t="s">
        <v>13</v>
      </c>
      <c r="G1119" s="5" t="s">
        <v>343</v>
      </c>
      <c r="H1119" s="1">
        <f t="shared" si="35"/>
        <v>2100</v>
      </c>
    </row>
    <row r="1120" spans="1:8" x14ac:dyDescent="0.3">
      <c r="A1120" s="2" t="str">
        <f t="shared" si="34"/>
        <v>Jun-2024</v>
      </c>
      <c r="B1120" s="2">
        <v>45471.456304201391</v>
      </c>
      <c r="C1120" s="5" t="s">
        <v>9</v>
      </c>
      <c r="D1120" s="3">
        <v>4</v>
      </c>
      <c r="E1120" s="4">
        <v>1800</v>
      </c>
      <c r="F1120" s="5" t="s">
        <v>13</v>
      </c>
      <c r="G1120" s="5" t="s">
        <v>77</v>
      </c>
      <c r="H1120" s="1">
        <f t="shared" si="35"/>
        <v>7200</v>
      </c>
    </row>
    <row r="1121" spans="1:8" x14ac:dyDescent="0.3">
      <c r="A1121" s="2" t="str">
        <f t="shared" si="34"/>
        <v>Jun-2024</v>
      </c>
      <c r="B1121" s="2">
        <v>45471.943295532408</v>
      </c>
      <c r="C1121" s="5" t="s">
        <v>26</v>
      </c>
      <c r="D1121" s="3">
        <v>1</v>
      </c>
      <c r="E1121" s="4">
        <v>1200</v>
      </c>
      <c r="F1121" s="5" t="s">
        <v>7</v>
      </c>
      <c r="G1121" s="5" t="s">
        <v>462</v>
      </c>
      <c r="H1121" s="1">
        <f t="shared" si="35"/>
        <v>1200</v>
      </c>
    </row>
    <row r="1122" spans="1:8" x14ac:dyDescent="0.3">
      <c r="A1122" s="2" t="str">
        <f t="shared" si="34"/>
        <v>Jun-2024</v>
      </c>
      <c r="B1122" s="2">
        <v>45472.430286863426</v>
      </c>
      <c r="C1122" s="5" t="s">
        <v>36</v>
      </c>
      <c r="D1122" s="3">
        <v>4</v>
      </c>
      <c r="E1122" s="4">
        <v>1800</v>
      </c>
      <c r="F1122" s="5" t="s">
        <v>10</v>
      </c>
      <c r="G1122" s="5" t="s">
        <v>420</v>
      </c>
      <c r="H1122" s="1">
        <f t="shared" si="35"/>
        <v>7200</v>
      </c>
    </row>
    <row r="1123" spans="1:8" x14ac:dyDescent="0.3">
      <c r="A1123" s="2" t="str">
        <f t="shared" si="34"/>
        <v>Jun-2024</v>
      </c>
      <c r="B1123" s="2">
        <v>45472.917278182867</v>
      </c>
      <c r="C1123" s="5" t="s">
        <v>36</v>
      </c>
      <c r="D1123" s="3">
        <v>4</v>
      </c>
      <c r="E1123" s="4">
        <v>1200</v>
      </c>
      <c r="F1123" s="5" t="s">
        <v>13</v>
      </c>
      <c r="G1123" s="5" t="s">
        <v>281</v>
      </c>
      <c r="H1123" s="1">
        <f t="shared" si="35"/>
        <v>4800</v>
      </c>
    </row>
    <row r="1124" spans="1:8" x14ac:dyDescent="0.3">
      <c r="A1124" s="2" t="str">
        <f t="shared" si="34"/>
        <v>Jun-2024</v>
      </c>
      <c r="B1124" s="2">
        <v>45473.404269513892</v>
      </c>
      <c r="C1124" s="5" t="s">
        <v>36</v>
      </c>
      <c r="D1124" s="3">
        <v>1</v>
      </c>
      <c r="E1124" s="4">
        <v>700</v>
      </c>
      <c r="F1124" s="5" t="s">
        <v>7</v>
      </c>
      <c r="G1124" s="5" t="s">
        <v>65</v>
      </c>
      <c r="H1124" s="1">
        <f t="shared" si="35"/>
        <v>700</v>
      </c>
    </row>
    <row r="1125" spans="1:8" x14ac:dyDescent="0.3">
      <c r="A1125" s="2" t="str">
        <f t="shared" si="34"/>
        <v>Jun-2024</v>
      </c>
      <c r="B1125" s="2">
        <v>45473.89126084491</v>
      </c>
      <c r="C1125" s="5" t="s">
        <v>36</v>
      </c>
      <c r="D1125" s="3">
        <v>5</v>
      </c>
      <c r="E1125" s="4">
        <v>150</v>
      </c>
      <c r="F1125" s="5" t="s">
        <v>10</v>
      </c>
      <c r="G1125" s="5" t="s">
        <v>469</v>
      </c>
      <c r="H1125" s="1">
        <f t="shared" si="35"/>
        <v>750</v>
      </c>
    </row>
    <row r="1126" spans="1:8" x14ac:dyDescent="0.3">
      <c r="A1126" s="2" t="str">
        <f t="shared" si="34"/>
        <v>Jul-2024</v>
      </c>
      <c r="B1126" s="2">
        <v>45474.378252164352</v>
      </c>
      <c r="C1126" s="5" t="s">
        <v>36</v>
      </c>
      <c r="D1126" s="3">
        <v>4</v>
      </c>
      <c r="E1126" s="4">
        <v>700</v>
      </c>
      <c r="F1126" s="5" t="s">
        <v>24</v>
      </c>
      <c r="G1126" s="5" t="s">
        <v>312</v>
      </c>
      <c r="H1126" s="1">
        <f t="shared" si="35"/>
        <v>2800</v>
      </c>
    </row>
    <row r="1127" spans="1:8" x14ac:dyDescent="0.3">
      <c r="A1127" s="2" t="str">
        <f t="shared" si="34"/>
        <v>Jul-2024</v>
      </c>
      <c r="B1127" s="2">
        <v>45474.865243495369</v>
      </c>
      <c r="C1127" s="5" t="s">
        <v>17</v>
      </c>
      <c r="D1127" s="3">
        <v>4</v>
      </c>
      <c r="E1127" s="4">
        <v>150</v>
      </c>
      <c r="F1127" s="5" t="s">
        <v>10</v>
      </c>
      <c r="G1127" s="5" t="s">
        <v>109</v>
      </c>
      <c r="H1127" s="1">
        <f t="shared" si="35"/>
        <v>600</v>
      </c>
    </row>
    <row r="1128" spans="1:8" x14ac:dyDescent="0.3">
      <c r="A1128" s="2" t="str">
        <f t="shared" si="34"/>
        <v>Jul-2024</v>
      </c>
      <c r="B1128" s="2">
        <v>45475.352234826387</v>
      </c>
      <c r="C1128" s="5" t="s">
        <v>26</v>
      </c>
      <c r="D1128" s="3">
        <v>5</v>
      </c>
      <c r="E1128" s="4">
        <v>150</v>
      </c>
      <c r="F1128" s="5" t="s">
        <v>13</v>
      </c>
      <c r="G1128" s="5" t="s">
        <v>213</v>
      </c>
      <c r="H1128" s="1">
        <f t="shared" si="35"/>
        <v>750</v>
      </c>
    </row>
    <row r="1129" spans="1:8" x14ac:dyDescent="0.3">
      <c r="A1129" s="2" t="str">
        <f t="shared" si="34"/>
        <v>Jul-2024</v>
      </c>
      <c r="B1129" s="2">
        <v>45475.839226145836</v>
      </c>
      <c r="C1129" s="5" t="s">
        <v>9</v>
      </c>
      <c r="D1129" s="3">
        <v>4</v>
      </c>
      <c r="E1129" s="4">
        <v>1800</v>
      </c>
      <c r="F1129" s="5" t="s">
        <v>13</v>
      </c>
      <c r="G1129" s="5" t="s">
        <v>411</v>
      </c>
      <c r="H1129" s="1">
        <f t="shared" si="35"/>
        <v>7200</v>
      </c>
    </row>
    <row r="1130" spans="1:8" x14ac:dyDescent="0.3">
      <c r="A1130" s="2" t="str">
        <f t="shared" si="34"/>
        <v>Jul-2024</v>
      </c>
      <c r="B1130" s="2">
        <v>45476.326217476853</v>
      </c>
      <c r="C1130" s="5" t="s">
        <v>12</v>
      </c>
      <c r="D1130" s="3">
        <v>4</v>
      </c>
      <c r="E1130" s="4">
        <v>3500</v>
      </c>
      <c r="F1130" s="5" t="s">
        <v>13</v>
      </c>
      <c r="G1130" s="5" t="s">
        <v>434</v>
      </c>
      <c r="H1130" s="1">
        <f t="shared" si="35"/>
        <v>14000</v>
      </c>
    </row>
    <row r="1131" spans="1:8" x14ac:dyDescent="0.3">
      <c r="A1131" s="2" t="str">
        <f t="shared" si="34"/>
        <v>Jul-2024</v>
      </c>
      <c r="B1131" s="2">
        <v>45476.813208807871</v>
      </c>
      <c r="C1131" s="5" t="s">
        <v>12</v>
      </c>
      <c r="D1131" s="3">
        <v>4</v>
      </c>
      <c r="E1131" s="4">
        <v>700</v>
      </c>
      <c r="F1131" s="5" t="s">
        <v>13</v>
      </c>
      <c r="G1131" s="5" t="s">
        <v>386</v>
      </c>
      <c r="H1131" s="1">
        <f t="shared" si="35"/>
        <v>2800</v>
      </c>
    </row>
    <row r="1132" spans="1:8" x14ac:dyDescent="0.3">
      <c r="A1132" s="2" t="str">
        <f t="shared" si="34"/>
        <v>Jul-2024</v>
      </c>
      <c r="B1132" s="2">
        <v>45477.300200138889</v>
      </c>
      <c r="C1132" s="5" t="s">
        <v>26</v>
      </c>
      <c r="D1132" s="3">
        <v>6</v>
      </c>
      <c r="E1132" s="4">
        <v>1200</v>
      </c>
      <c r="F1132" s="5" t="s">
        <v>13</v>
      </c>
      <c r="G1132" s="5" t="s">
        <v>14</v>
      </c>
      <c r="H1132" s="1">
        <f t="shared" si="35"/>
        <v>7200</v>
      </c>
    </row>
    <row r="1133" spans="1:8" x14ac:dyDescent="0.3">
      <c r="A1133" s="2" t="str">
        <f t="shared" si="34"/>
        <v>Jul-2024</v>
      </c>
      <c r="B1133" s="2">
        <v>45477.78719145833</v>
      </c>
      <c r="C1133" s="5" t="s">
        <v>26</v>
      </c>
      <c r="D1133" s="3">
        <v>2</v>
      </c>
      <c r="E1133" s="4">
        <v>700</v>
      </c>
      <c r="F1133" s="5" t="s">
        <v>7</v>
      </c>
      <c r="G1133" s="5" t="s">
        <v>301</v>
      </c>
      <c r="H1133" s="1">
        <f t="shared" si="35"/>
        <v>1400</v>
      </c>
    </row>
    <row r="1134" spans="1:8" x14ac:dyDescent="0.3">
      <c r="A1134" s="2" t="str">
        <f t="shared" si="34"/>
        <v>Jul-2024</v>
      </c>
      <c r="B1134" s="2">
        <v>45478.274182789355</v>
      </c>
      <c r="C1134" s="5" t="s">
        <v>12</v>
      </c>
      <c r="D1134" s="3">
        <v>5</v>
      </c>
      <c r="E1134" s="4">
        <v>1800</v>
      </c>
      <c r="F1134" s="5" t="s">
        <v>13</v>
      </c>
      <c r="G1134" s="5" t="s">
        <v>290</v>
      </c>
      <c r="H1134" s="1">
        <f t="shared" si="35"/>
        <v>9000</v>
      </c>
    </row>
    <row r="1135" spans="1:8" x14ac:dyDescent="0.3">
      <c r="A1135" s="2" t="str">
        <f t="shared" si="34"/>
        <v>Jul-2024</v>
      </c>
      <c r="B1135" s="2">
        <v>45478.761174120373</v>
      </c>
      <c r="C1135" s="5" t="s">
        <v>12</v>
      </c>
      <c r="D1135" s="3">
        <v>4</v>
      </c>
      <c r="E1135" s="4">
        <v>150</v>
      </c>
      <c r="F1135" s="5" t="s">
        <v>7</v>
      </c>
      <c r="G1135" s="5" t="s">
        <v>240</v>
      </c>
      <c r="H1135" s="1">
        <f t="shared" si="35"/>
        <v>600</v>
      </c>
    </row>
    <row r="1136" spans="1:8" x14ac:dyDescent="0.3">
      <c r="A1136" s="2" t="str">
        <f t="shared" si="34"/>
        <v>Jul-2024</v>
      </c>
      <c r="B1136" s="2">
        <v>45479.248165439814</v>
      </c>
      <c r="C1136" s="5" t="s">
        <v>17</v>
      </c>
      <c r="D1136" s="3">
        <v>6</v>
      </c>
      <c r="E1136" s="4">
        <v>1800</v>
      </c>
      <c r="F1136" s="5" t="s">
        <v>24</v>
      </c>
      <c r="G1136" s="5" t="s">
        <v>164</v>
      </c>
      <c r="H1136" s="1">
        <f t="shared" si="35"/>
        <v>10800</v>
      </c>
    </row>
    <row r="1137" spans="1:8" x14ac:dyDescent="0.3">
      <c r="A1137" s="2" t="str">
        <f t="shared" si="34"/>
        <v>Jul-2024</v>
      </c>
      <c r="B1137" s="2">
        <v>45479.735156770832</v>
      </c>
      <c r="C1137" s="5" t="s">
        <v>6</v>
      </c>
      <c r="D1137" s="3">
        <v>5</v>
      </c>
      <c r="E1137" s="4">
        <v>450</v>
      </c>
      <c r="F1137" s="5" t="s">
        <v>13</v>
      </c>
      <c r="G1137" s="5" t="s">
        <v>396</v>
      </c>
      <c r="H1137" s="1">
        <f t="shared" si="35"/>
        <v>2250</v>
      </c>
    </row>
    <row r="1138" spans="1:8" x14ac:dyDescent="0.3">
      <c r="A1138" s="2" t="str">
        <f t="shared" si="34"/>
        <v>Jul-2024</v>
      </c>
      <c r="B1138" s="2">
        <v>45480.22214810185</v>
      </c>
      <c r="C1138" s="5" t="s">
        <v>9</v>
      </c>
      <c r="D1138" s="3">
        <v>3</v>
      </c>
      <c r="E1138" s="4">
        <v>450</v>
      </c>
      <c r="F1138" s="5" t="s">
        <v>13</v>
      </c>
      <c r="G1138" s="5" t="s">
        <v>238</v>
      </c>
      <c r="H1138" s="1">
        <f t="shared" si="35"/>
        <v>1350</v>
      </c>
    </row>
    <row r="1139" spans="1:8" x14ac:dyDescent="0.3">
      <c r="A1139" s="2" t="str">
        <f t="shared" si="34"/>
        <v>Jul-2024</v>
      </c>
      <c r="B1139" s="2">
        <v>45480.709139421298</v>
      </c>
      <c r="C1139" s="5" t="s">
        <v>36</v>
      </c>
      <c r="D1139" s="3">
        <v>3</v>
      </c>
      <c r="E1139" s="4">
        <v>1200</v>
      </c>
      <c r="F1139" s="5" t="s">
        <v>10</v>
      </c>
      <c r="G1139" s="5" t="s">
        <v>184</v>
      </c>
      <c r="H1139" s="1">
        <f t="shared" si="35"/>
        <v>3600</v>
      </c>
    </row>
    <row r="1140" spans="1:8" x14ac:dyDescent="0.3">
      <c r="A1140" s="2" t="str">
        <f t="shared" si="34"/>
        <v>Jul-2024</v>
      </c>
      <c r="B1140" s="2">
        <v>45481.196130752316</v>
      </c>
      <c r="C1140" s="5" t="s">
        <v>6</v>
      </c>
      <c r="D1140" s="3">
        <v>4</v>
      </c>
      <c r="E1140" s="4">
        <v>1800</v>
      </c>
      <c r="F1140" s="5" t="s">
        <v>24</v>
      </c>
      <c r="G1140" s="5" t="s">
        <v>407</v>
      </c>
      <c r="H1140" s="1">
        <f t="shared" si="35"/>
        <v>7200</v>
      </c>
    </row>
    <row r="1141" spans="1:8" x14ac:dyDescent="0.3">
      <c r="A1141" s="2" t="str">
        <f t="shared" si="34"/>
        <v>Jul-2024</v>
      </c>
      <c r="B1141" s="2">
        <v>45481.683122083334</v>
      </c>
      <c r="C1141" s="5" t="s">
        <v>26</v>
      </c>
      <c r="D1141" s="3">
        <v>6</v>
      </c>
      <c r="E1141" s="4">
        <v>1200</v>
      </c>
      <c r="F1141" s="5" t="s">
        <v>13</v>
      </c>
      <c r="G1141" s="5" t="s">
        <v>23</v>
      </c>
      <c r="H1141" s="1">
        <f t="shared" si="35"/>
        <v>7200</v>
      </c>
    </row>
    <row r="1142" spans="1:8" x14ac:dyDescent="0.3">
      <c r="A1142" s="2" t="str">
        <f t="shared" si="34"/>
        <v>Jul-2024</v>
      </c>
      <c r="B1142" s="2">
        <v>45482.170113414351</v>
      </c>
      <c r="C1142" s="5" t="s">
        <v>12</v>
      </c>
      <c r="D1142" s="3">
        <v>6</v>
      </c>
      <c r="E1142" s="4">
        <v>1200</v>
      </c>
      <c r="F1142" s="5" t="s">
        <v>13</v>
      </c>
      <c r="G1142" s="5" t="s">
        <v>336</v>
      </c>
      <c r="H1142" s="1">
        <f t="shared" si="35"/>
        <v>7200</v>
      </c>
    </row>
    <row r="1143" spans="1:8" x14ac:dyDescent="0.3">
      <c r="A1143" s="2" t="str">
        <f t="shared" si="34"/>
        <v>Jul-2024</v>
      </c>
      <c r="B1143" s="2">
        <v>45482.657104733793</v>
      </c>
      <c r="C1143" s="5" t="s">
        <v>6</v>
      </c>
      <c r="D1143" s="3">
        <v>5</v>
      </c>
      <c r="E1143" s="4">
        <v>450</v>
      </c>
      <c r="F1143" s="5" t="s">
        <v>24</v>
      </c>
      <c r="G1143" s="5" t="s">
        <v>209</v>
      </c>
      <c r="H1143" s="1">
        <f t="shared" si="35"/>
        <v>2250</v>
      </c>
    </row>
    <row r="1144" spans="1:8" x14ac:dyDescent="0.3">
      <c r="A1144" s="2" t="str">
        <f t="shared" si="34"/>
        <v>Jul-2024</v>
      </c>
      <c r="B1144" s="2">
        <v>45483.144096064818</v>
      </c>
      <c r="C1144" s="5" t="s">
        <v>9</v>
      </c>
      <c r="D1144" s="3">
        <v>5</v>
      </c>
      <c r="E1144" s="4">
        <v>1200</v>
      </c>
      <c r="F1144" s="5" t="s">
        <v>7</v>
      </c>
      <c r="G1144" s="5" t="s">
        <v>227</v>
      </c>
      <c r="H1144" s="1">
        <f t="shared" si="35"/>
        <v>6000</v>
      </c>
    </row>
    <row r="1145" spans="1:8" x14ac:dyDescent="0.3">
      <c r="A1145" s="2" t="str">
        <f t="shared" si="34"/>
        <v>Jul-2024</v>
      </c>
      <c r="B1145" s="2">
        <v>45483.631087395835</v>
      </c>
      <c r="C1145" s="5" t="s">
        <v>26</v>
      </c>
      <c r="D1145" s="3">
        <v>6</v>
      </c>
      <c r="E1145" s="4">
        <v>450</v>
      </c>
      <c r="F1145" s="5" t="s">
        <v>13</v>
      </c>
      <c r="G1145" s="5" t="s">
        <v>407</v>
      </c>
      <c r="H1145" s="1">
        <f t="shared" si="35"/>
        <v>2700</v>
      </c>
    </row>
    <row r="1146" spans="1:8" x14ac:dyDescent="0.3">
      <c r="A1146" s="2" t="str">
        <f t="shared" si="34"/>
        <v>Jul-2024</v>
      </c>
      <c r="B1146" s="2">
        <v>45484.118078715277</v>
      </c>
      <c r="C1146" s="5" t="s">
        <v>36</v>
      </c>
      <c r="D1146" s="3">
        <v>5</v>
      </c>
      <c r="E1146" s="4">
        <v>150</v>
      </c>
      <c r="F1146" s="5" t="s">
        <v>10</v>
      </c>
      <c r="G1146" s="5" t="s">
        <v>457</v>
      </c>
      <c r="H1146" s="1">
        <f t="shared" si="35"/>
        <v>750</v>
      </c>
    </row>
    <row r="1147" spans="1:8" x14ac:dyDescent="0.3">
      <c r="A1147" s="2" t="str">
        <f t="shared" si="34"/>
        <v>Jul-2024</v>
      </c>
      <c r="B1147" s="2">
        <v>45484.605070046295</v>
      </c>
      <c r="C1147" s="5" t="s">
        <v>36</v>
      </c>
      <c r="D1147" s="3">
        <v>6</v>
      </c>
      <c r="E1147" s="4">
        <v>1800</v>
      </c>
      <c r="F1147" s="5" t="s">
        <v>13</v>
      </c>
      <c r="G1147" s="5" t="s">
        <v>80</v>
      </c>
      <c r="H1147" s="1">
        <f t="shared" si="35"/>
        <v>10800</v>
      </c>
    </row>
    <row r="1148" spans="1:8" x14ac:dyDescent="0.3">
      <c r="A1148" s="2" t="str">
        <f t="shared" si="34"/>
        <v>Jul-2024</v>
      </c>
      <c r="B1148" s="2">
        <v>45485.092061377312</v>
      </c>
      <c r="C1148" s="5" t="s">
        <v>9</v>
      </c>
      <c r="D1148" s="3">
        <v>2</v>
      </c>
      <c r="E1148" s="4">
        <v>1200</v>
      </c>
      <c r="F1148" s="5" t="s">
        <v>10</v>
      </c>
      <c r="G1148" s="5" t="s">
        <v>146</v>
      </c>
      <c r="H1148" s="1">
        <f t="shared" si="35"/>
        <v>2400</v>
      </c>
    </row>
    <row r="1149" spans="1:8" x14ac:dyDescent="0.3">
      <c r="A1149" s="2" t="str">
        <f t="shared" si="34"/>
        <v>Jul-2024</v>
      </c>
      <c r="B1149" s="2">
        <v>45485.579052696761</v>
      </c>
      <c r="C1149" s="5" t="s">
        <v>9</v>
      </c>
      <c r="D1149" s="3">
        <v>6</v>
      </c>
      <c r="E1149" s="4">
        <v>450</v>
      </c>
      <c r="F1149" s="5" t="s">
        <v>10</v>
      </c>
      <c r="G1149" s="5" t="s">
        <v>89</v>
      </c>
      <c r="H1149" s="1">
        <f t="shared" si="35"/>
        <v>2700</v>
      </c>
    </row>
    <row r="1150" spans="1:8" x14ac:dyDescent="0.3">
      <c r="A1150" s="2" t="str">
        <f t="shared" si="34"/>
        <v>Jul-2024</v>
      </c>
      <c r="B1150" s="2">
        <v>45486.066044027779</v>
      </c>
      <c r="C1150" s="5" t="s">
        <v>12</v>
      </c>
      <c r="D1150" s="3">
        <v>3</v>
      </c>
      <c r="E1150" s="4">
        <v>700</v>
      </c>
      <c r="F1150" s="5" t="s">
        <v>13</v>
      </c>
      <c r="G1150" s="5" t="s">
        <v>167</v>
      </c>
      <c r="H1150" s="1">
        <f t="shared" si="35"/>
        <v>2100</v>
      </c>
    </row>
    <row r="1151" spans="1:8" x14ac:dyDescent="0.3">
      <c r="A1151" s="2" t="str">
        <f t="shared" si="34"/>
        <v>Jul-2024</v>
      </c>
      <c r="B1151" s="2">
        <v>45486.553035358796</v>
      </c>
      <c r="C1151" s="5" t="s">
        <v>36</v>
      </c>
      <c r="D1151" s="3">
        <v>5</v>
      </c>
      <c r="E1151" s="4">
        <v>1200</v>
      </c>
      <c r="F1151" s="5" t="s">
        <v>13</v>
      </c>
      <c r="G1151" s="5" t="s">
        <v>131</v>
      </c>
      <c r="H1151" s="1">
        <f t="shared" si="35"/>
        <v>6000</v>
      </c>
    </row>
    <row r="1152" spans="1:8" x14ac:dyDescent="0.3">
      <c r="A1152" s="2" t="str">
        <f t="shared" si="34"/>
        <v>Jul-2024</v>
      </c>
      <c r="B1152" s="2">
        <v>45487.040026689814</v>
      </c>
      <c r="C1152" s="5" t="s">
        <v>26</v>
      </c>
      <c r="D1152" s="3">
        <v>6</v>
      </c>
      <c r="E1152" s="4">
        <v>3500</v>
      </c>
      <c r="F1152" s="5" t="s">
        <v>10</v>
      </c>
      <c r="G1152" s="5" t="s">
        <v>88</v>
      </c>
      <c r="H1152" s="1">
        <f t="shared" si="35"/>
        <v>21000</v>
      </c>
    </row>
    <row r="1153" spans="1:8" x14ac:dyDescent="0.3">
      <c r="A1153" s="2" t="str">
        <f t="shared" si="34"/>
        <v>Jul-2024</v>
      </c>
      <c r="B1153" s="2">
        <v>45487.527018009256</v>
      </c>
      <c r="C1153" s="5" t="s">
        <v>6</v>
      </c>
      <c r="D1153" s="3">
        <v>6</v>
      </c>
      <c r="E1153" s="4">
        <v>150</v>
      </c>
      <c r="F1153" s="5" t="s">
        <v>24</v>
      </c>
      <c r="G1153" s="5" t="s">
        <v>148</v>
      </c>
      <c r="H1153" s="1">
        <f t="shared" si="35"/>
        <v>900</v>
      </c>
    </row>
    <row r="1154" spans="1:8" x14ac:dyDescent="0.3">
      <c r="A1154" s="2" t="str">
        <f t="shared" si="34"/>
        <v>Jul-2024</v>
      </c>
      <c r="B1154" s="2">
        <v>45488.014009340281</v>
      </c>
      <c r="C1154" s="5" t="s">
        <v>26</v>
      </c>
      <c r="D1154" s="3">
        <v>5</v>
      </c>
      <c r="E1154" s="4">
        <v>150</v>
      </c>
      <c r="F1154" s="5" t="s">
        <v>24</v>
      </c>
      <c r="G1154" s="5" t="s">
        <v>448</v>
      </c>
      <c r="H1154" s="1">
        <f t="shared" si="35"/>
        <v>750</v>
      </c>
    </row>
    <row r="1155" spans="1:8" x14ac:dyDescent="0.3">
      <c r="A1155" s="2" t="str">
        <f t="shared" ref="A1155:A1218" si="36">TEXT(B1155, "mmm-yyyy")</f>
        <v>Jul-2024</v>
      </c>
      <c r="B1155" s="2">
        <v>45488.501000671298</v>
      </c>
      <c r="C1155" s="5" t="s">
        <v>17</v>
      </c>
      <c r="D1155" s="3">
        <v>2</v>
      </c>
      <c r="E1155" s="4">
        <v>700</v>
      </c>
      <c r="F1155" s="5" t="s">
        <v>13</v>
      </c>
      <c r="G1155" s="5" t="s">
        <v>470</v>
      </c>
      <c r="H1155" s="1">
        <f t="shared" ref="H1155:H1218" si="37" xml:space="preserve"> D1155 * E1155</f>
        <v>1400</v>
      </c>
    </row>
    <row r="1156" spans="1:8" x14ac:dyDescent="0.3">
      <c r="A1156" s="2" t="str">
        <f t="shared" si="36"/>
        <v>Jul-2024</v>
      </c>
      <c r="B1156" s="2">
        <v>45488.98799199074</v>
      </c>
      <c r="C1156" s="5" t="s">
        <v>17</v>
      </c>
      <c r="D1156" s="3">
        <v>2</v>
      </c>
      <c r="E1156" s="4">
        <v>450</v>
      </c>
      <c r="F1156" s="5" t="s">
        <v>7</v>
      </c>
      <c r="G1156" s="5" t="s">
        <v>343</v>
      </c>
      <c r="H1156" s="1">
        <f t="shared" si="37"/>
        <v>900</v>
      </c>
    </row>
    <row r="1157" spans="1:8" x14ac:dyDescent="0.3">
      <c r="A1157" s="2" t="str">
        <f t="shared" si="36"/>
        <v>Jul-2024</v>
      </c>
      <c r="B1157" s="2">
        <v>45489.474983321757</v>
      </c>
      <c r="C1157" s="5" t="s">
        <v>9</v>
      </c>
      <c r="D1157" s="3">
        <v>5</v>
      </c>
      <c r="E1157" s="4">
        <v>1200</v>
      </c>
      <c r="F1157" s="5" t="s">
        <v>24</v>
      </c>
      <c r="G1157" s="5" t="s">
        <v>118</v>
      </c>
      <c r="H1157" s="1">
        <f t="shared" si="37"/>
        <v>6000</v>
      </c>
    </row>
    <row r="1158" spans="1:8" x14ac:dyDescent="0.3">
      <c r="A1158" s="2" t="str">
        <f t="shared" si="36"/>
        <v>Jul-2024</v>
      </c>
      <c r="B1158" s="2">
        <v>45489.961974652775</v>
      </c>
      <c r="C1158" s="5" t="s">
        <v>12</v>
      </c>
      <c r="D1158" s="3">
        <v>1</v>
      </c>
      <c r="E1158" s="4">
        <v>450</v>
      </c>
      <c r="F1158" s="5" t="s">
        <v>13</v>
      </c>
      <c r="G1158" s="5" t="s">
        <v>151</v>
      </c>
      <c r="H1158" s="1">
        <f t="shared" si="37"/>
        <v>450</v>
      </c>
    </row>
    <row r="1159" spans="1:8" x14ac:dyDescent="0.3">
      <c r="A1159" s="2" t="str">
        <f t="shared" si="36"/>
        <v>Jul-2024</v>
      </c>
      <c r="B1159" s="2">
        <v>45490.448965972224</v>
      </c>
      <c r="C1159" s="5" t="s">
        <v>17</v>
      </c>
      <c r="D1159" s="3">
        <v>5</v>
      </c>
      <c r="E1159" s="4">
        <v>150</v>
      </c>
      <c r="F1159" s="5" t="s">
        <v>24</v>
      </c>
      <c r="G1159" s="5" t="s">
        <v>71</v>
      </c>
      <c r="H1159" s="1">
        <f t="shared" si="37"/>
        <v>750</v>
      </c>
    </row>
    <row r="1160" spans="1:8" x14ac:dyDescent="0.3">
      <c r="A1160" s="2" t="str">
        <f t="shared" si="36"/>
        <v>Jul-2024</v>
      </c>
      <c r="B1160" s="2">
        <v>45490.935957303242</v>
      </c>
      <c r="C1160" s="5" t="s">
        <v>36</v>
      </c>
      <c r="D1160" s="3">
        <v>5</v>
      </c>
      <c r="E1160" s="4">
        <v>450</v>
      </c>
      <c r="F1160" s="5" t="s">
        <v>7</v>
      </c>
      <c r="G1160" s="5" t="s">
        <v>471</v>
      </c>
      <c r="H1160" s="1">
        <f t="shared" si="37"/>
        <v>2250</v>
      </c>
    </row>
    <row r="1161" spans="1:8" x14ac:dyDescent="0.3">
      <c r="A1161" s="2" t="str">
        <f t="shared" si="36"/>
        <v>Jul-2024</v>
      </c>
      <c r="B1161" s="2">
        <v>45491.422948634259</v>
      </c>
      <c r="C1161" s="5" t="s">
        <v>26</v>
      </c>
      <c r="D1161" s="3">
        <v>2</v>
      </c>
      <c r="E1161" s="4">
        <v>150</v>
      </c>
      <c r="F1161" s="5" t="s">
        <v>13</v>
      </c>
      <c r="G1161" s="5" t="s">
        <v>472</v>
      </c>
      <c r="H1161" s="1">
        <f t="shared" si="37"/>
        <v>300</v>
      </c>
    </row>
    <row r="1162" spans="1:8" x14ac:dyDescent="0.3">
      <c r="A1162" s="2" t="str">
        <f t="shared" si="36"/>
        <v>Jul-2024</v>
      </c>
      <c r="B1162" s="2">
        <v>45491.909939965277</v>
      </c>
      <c r="C1162" s="5" t="s">
        <v>26</v>
      </c>
      <c r="D1162" s="3">
        <v>2</v>
      </c>
      <c r="E1162" s="4">
        <v>450</v>
      </c>
      <c r="F1162" s="5" t="s">
        <v>7</v>
      </c>
      <c r="G1162" s="5" t="s">
        <v>102</v>
      </c>
      <c r="H1162" s="1">
        <f t="shared" si="37"/>
        <v>900</v>
      </c>
    </row>
    <row r="1163" spans="1:8" x14ac:dyDescent="0.3">
      <c r="A1163" s="2" t="str">
        <f t="shared" si="36"/>
        <v>Jul-2024</v>
      </c>
      <c r="B1163" s="2">
        <v>45492.396931284726</v>
      </c>
      <c r="C1163" s="5" t="s">
        <v>9</v>
      </c>
      <c r="D1163" s="3">
        <v>5</v>
      </c>
      <c r="E1163" s="4">
        <v>700</v>
      </c>
      <c r="F1163" s="5" t="s">
        <v>13</v>
      </c>
      <c r="G1163" s="5" t="s">
        <v>473</v>
      </c>
      <c r="H1163" s="1">
        <f t="shared" si="37"/>
        <v>3500</v>
      </c>
    </row>
    <row r="1164" spans="1:8" x14ac:dyDescent="0.3">
      <c r="A1164" s="2" t="str">
        <f t="shared" si="36"/>
        <v>Jul-2024</v>
      </c>
      <c r="B1164" s="2">
        <v>45492.883922615743</v>
      </c>
      <c r="C1164" s="5" t="s">
        <v>6</v>
      </c>
      <c r="D1164" s="3">
        <v>5</v>
      </c>
      <c r="E1164" s="4">
        <v>1800</v>
      </c>
      <c r="F1164" s="5" t="s">
        <v>7</v>
      </c>
      <c r="G1164" s="5" t="s">
        <v>436</v>
      </c>
      <c r="H1164" s="1">
        <f t="shared" si="37"/>
        <v>9000</v>
      </c>
    </row>
    <row r="1165" spans="1:8" x14ac:dyDescent="0.3">
      <c r="A1165" s="2" t="str">
        <f t="shared" si="36"/>
        <v>Jul-2024</v>
      </c>
      <c r="B1165" s="2">
        <v>45493.370913946761</v>
      </c>
      <c r="C1165" s="5" t="s">
        <v>9</v>
      </c>
      <c r="D1165" s="3">
        <v>5</v>
      </c>
      <c r="E1165" s="4">
        <v>700</v>
      </c>
      <c r="F1165" s="5" t="s">
        <v>24</v>
      </c>
      <c r="G1165" s="5" t="s">
        <v>64</v>
      </c>
      <c r="H1165" s="1">
        <f t="shared" si="37"/>
        <v>3500</v>
      </c>
    </row>
    <row r="1166" spans="1:8" x14ac:dyDescent="0.3">
      <c r="A1166" s="2" t="str">
        <f t="shared" si="36"/>
        <v>Jul-2024</v>
      </c>
      <c r="B1166" s="2">
        <v>45493.857905266203</v>
      </c>
      <c r="C1166" s="5" t="s">
        <v>6</v>
      </c>
      <c r="D1166" s="3">
        <v>2</v>
      </c>
      <c r="E1166" s="4">
        <v>700</v>
      </c>
      <c r="F1166" s="5" t="s">
        <v>24</v>
      </c>
      <c r="G1166" s="5" t="s">
        <v>241</v>
      </c>
      <c r="H1166" s="1">
        <f t="shared" si="37"/>
        <v>1400</v>
      </c>
    </row>
    <row r="1167" spans="1:8" x14ac:dyDescent="0.3">
      <c r="A1167" s="2" t="str">
        <f t="shared" si="36"/>
        <v>Jul-2024</v>
      </c>
      <c r="B1167" s="2">
        <v>45494.34489659722</v>
      </c>
      <c r="C1167" s="5" t="s">
        <v>9</v>
      </c>
      <c r="D1167" s="3">
        <v>5</v>
      </c>
      <c r="E1167" s="4">
        <v>1800</v>
      </c>
      <c r="F1167" s="5" t="s">
        <v>7</v>
      </c>
      <c r="G1167" s="5" t="s">
        <v>81</v>
      </c>
      <c r="H1167" s="1">
        <f t="shared" si="37"/>
        <v>9000</v>
      </c>
    </row>
    <row r="1168" spans="1:8" x14ac:dyDescent="0.3">
      <c r="A1168" s="2" t="str">
        <f t="shared" si="36"/>
        <v>Jul-2024</v>
      </c>
      <c r="B1168" s="2">
        <v>45494.831887928238</v>
      </c>
      <c r="C1168" s="5" t="s">
        <v>9</v>
      </c>
      <c r="D1168" s="3">
        <v>5</v>
      </c>
      <c r="E1168" s="4">
        <v>1800</v>
      </c>
      <c r="F1168" s="5" t="s">
        <v>7</v>
      </c>
      <c r="G1168" s="5" t="s">
        <v>151</v>
      </c>
      <c r="H1168" s="1">
        <f t="shared" si="37"/>
        <v>9000</v>
      </c>
    </row>
    <row r="1169" spans="1:8" x14ac:dyDescent="0.3">
      <c r="A1169" s="2" t="str">
        <f t="shared" si="36"/>
        <v>Jul-2024</v>
      </c>
      <c r="B1169" s="2">
        <v>45495.318879247687</v>
      </c>
      <c r="C1169" s="5" t="s">
        <v>9</v>
      </c>
      <c r="D1169" s="3">
        <v>4</v>
      </c>
      <c r="E1169" s="4">
        <v>1200</v>
      </c>
      <c r="F1169" s="5" t="s">
        <v>7</v>
      </c>
      <c r="G1169" s="5" t="s">
        <v>46</v>
      </c>
      <c r="H1169" s="1">
        <f t="shared" si="37"/>
        <v>4800</v>
      </c>
    </row>
    <row r="1170" spans="1:8" x14ac:dyDescent="0.3">
      <c r="A1170" s="2" t="str">
        <f t="shared" si="36"/>
        <v>Jul-2024</v>
      </c>
      <c r="B1170" s="2">
        <v>45495.805870578704</v>
      </c>
      <c r="C1170" s="5" t="s">
        <v>6</v>
      </c>
      <c r="D1170" s="3">
        <v>1</v>
      </c>
      <c r="E1170" s="4">
        <v>1200</v>
      </c>
      <c r="F1170" s="5" t="s">
        <v>13</v>
      </c>
      <c r="G1170" s="5" t="s">
        <v>211</v>
      </c>
      <c r="H1170" s="1">
        <f t="shared" si="37"/>
        <v>1200</v>
      </c>
    </row>
    <row r="1171" spans="1:8" x14ac:dyDescent="0.3">
      <c r="A1171" s="2" t="str">
        <f t="shared" si="36"/>
        <v>Jul-2024</v>
      </c>
      <c r="B1171" s="2">
        <v>45496.292861909722</v>
      </c>
      <c r="C1171" s="5" t="s">
        <v>6</v>
      </c>
      <c r="D1171" s="3">
        <v>3</v>
      </c>
      <c r="E1171" s="4">
        <v>700</v>
      </c>
      <c r="F1171" s="5" t="s">
        <v>24</v>
      </c>
      <c r="G1171" s="5" t="s">
        <v>111</v>
      </c>
      <c r="H1171" s="1">
        <f t="shared" si="37"/>
        <v>2100</v>
      </c>
    </row>
    <row r="1172" spans="1:8" x14ac:dyDescent="0.3">
      <c r="A1172" s="2" t="str">
        <f t="shared" si="36"/>
        <v>Jul-2024</v>
      </c>
      <c r="B1172" s="2">
        <v>45496.77985324074</v>
      </c>
      <c r="C1172" s="5" t="s">
        <v>9</v>
      </c>
      <c r="D1172" s="3">
        <v>1</v>
      </c>
      <c r="E1172" s="4">
        <v>700</v>
      </c>
      <c r="F1172" s="5" t="s">
        <v>13</v>
      </c>
      <c r="G1172" s="5" t="s">
        <v>72</v>
      </c>
      <c r="H1172" s="1">
        <f t="shared" si="37"/>
        <v>700</v>
      </c>
    </row>
    <row r="1173" spans="1:8" x14ac:dyDescent="0.3">
      <c r="A1173" s="2" t="str">
        <f t="shared" si="36"/>
        <v>Jul-2024</v>
      </c>
      <c r="B1173" s="2">
        <v>45497.266844560188</v>
      </c>
      <c r="C1173" s="5" t="s">
        <v>17</v>
      </c>
      <c r="D1173" s="3">
        <v>4</v>
      </c>
      <c r="E1173" s="4">
        <v>150</v>
      </c>
      <c r="F1173" s="5" t="s">
        <v>24</v>
      </c>
      <c r="G1173" s="5" t="s">
        <v>130</v>
      </c>
      <c r="H1173" s="1">
        <f t="shared" si="37"/>
        <v>600</v>
      </c>
    </row>
    <row r="1174" spans="1:8" x14ac:dyDescent="0.3">
      <c r="A1174" s="2" t="str">
        <f t="shared" si="36"/>
        <v>Jul-2024</v>
      </c>
      <c r="B1174" s="2">
        <v>45497.753835891206</v>
      </c>
      <c r="C1174" s="5" t="s">
        <v>12</v>
      </c>
      <c r="D1174" s="3">
        <v>3</v>
      </c>
      <c r="E1174" s="4">
        <v>150</v>
      </c>
      <c r="F1174" s="5" t="s">
        <v>10</v>
      </c>
      <c r="G1174" s="5" t="s">
        <v>61</v>
      </c>
      <c r="H1174" s="1">
        <f t="shared" si="37"/>
        <v>450</v>
      </c>
    </row>
    <row r="1175" spans="1:8" x14ac:dyDescent="0.3">
      <c r="A1175" s="2" t="str">
        <f t="shared" si="36"/>
        <v>Jul-2024</v>
      </c>
      <c r="B1175" s="2">
        <v>45498.240827222224</v>
      </c>
      <c r="C1175" s="5" t="s">
        <v>12</v>
      </c>
      <c r="D1175" s="3">
        <v>5</v>
      </c>
      <c r="E1175" s="4">
        <v>1200</v>
      </c>
      <c r="F1175" s="5" t="s">
        <v>13</v>
      </c>
      <c r="G1175" s="5" t="s">
        <v>445</v>
      </c>
      <c r="H1175" s="1">
        <f t="shared" si="37"/>
        <v>6000</v>
      </c>
    </row>
    <row r="1176" spans="1:8" x14ac:dyDescent="0.3">
      <c r="A1176" s="2" t="str">
        <f t="shared" si="36"/>
        <v>Jul-2024</v>
      </c>
      <c r="B1176" s="2">
        <v>45498.727818541665</v>
      </c>
      <c r="C1176" s="5" t="s">
        <v>12</v>
      </c>
      <c r="D1176" s="3">
        <v>4</v>
      </c>
      <c r="E1176" s="4">
        <v>3500</v>
      </c>
      <c r="F1176" s="5" t="s">
        <v>24</v>
      </c>
      <c r="G1176" s="5" t="s">
        <v>219</v>
      </c>
      <c r="H1176" s="1">
        <f t="shared" si="37"/>
        <v>14000</v>
      </c>
    </row>
    <row r="1177" spans="1:8" x14ac:dyDescent="0.3">
      <c r="A1177" s="2" t="str">
        <f t="shared" si="36"/>
        <v>Jul-2024</v>
      </c>
      <c r="B1177" s="2">
        <v>45499.214809872683</v>
      </c>
      <c r="C1177" s="5" t="s">
        <v>6</v>
      </c>
      <c r="D1177" s="3">
        <v>5</v>
      </c>
      <c r="E1177" s="4">
        <v>3500</v>
      </c>
      <c r="F1177" s="5" t="s">
        <v>24</v>
      </c>
      <c r="G1177" s="5" t="s">
        <v>168</v>
      </c>
      <c r="H1177" s="1">
        <f t="shared" si="37"/>
        <v>17500</v>
      </c>
    </row>
    <row r="1178" spans="1:8" x14ac:dyDescent="0.3">
      <c r="A1178" s="2" t="str">
        <f t="shared" si="36"/>
        <v>Jul-2024</v>
      </c>
      <c r="B1178" s="2">
        <v>45499.701801203701</v>
      </c>
      <c r="C1178" s="5" t="s">
        <v>6</v>
      </c>
      <c r="D1178" s="3">
        <v>2</v>
      </c>
      <c r="E1178" s="4">
        <v>1200</v>
      </c>
      <c r="F1178" s="5" t="s">
        <v>13</v>
      </c>
      <c r="G1178" s="5" t="s">
        <v>474</v>
      </c>
      <c r="H1178" s="1">
        <f t="shared" si="37"/>
        <v>2400</v>
      </c>
    </row>
    <row r="1179" spans="1:8" x14ac:dyDescent="0.3">
      <c r="A1179" s="2" t="str">
        <f t="shared" si="36"/>
        <v>Jul-2024</v>
      </c>
      <c r="B1179" s="2">
        <v>45500.188792523149</v>
      </c>
      <c r="C1179" s="5" t="s">
        <v>17</v>
      </c>
      <c r="D1179" s="3">
        <v>6</v>
      </c>
      <c r="E1179" s="4">
        <v>150</v>
      </c>
      <c r="F1179" s="5" t="s">
        <v>13</v>
      </c>
      <c r="G1179" s="5" t="s">
        <v>377</v>
      </c>
      <c r="H1179" s="1">
        <f t="shared" si="37"/>
        <v>900</v>
      </c>
    </row>
    <row r="1180" spans="1:8" x14ac:dyDescent="0.3">
      <c r="A1180" s="2" t="str">
        <f t="shared" si="36"/>
        <v>Jul-2024</v>
      </c>
      <c r="B1180" s="2">
        <v>45500.675783854167</v>
      </c>
      <c r="C1180" s="5" t="s">
        <v>12</v>
      </c>
      <c r="D1180" s="3">
        <v>4</v>
      </c>
      <c r="E1180" s="4">
        <v>150</v>
      </c>
      <c r="F1180" s="5" t="s">
        <v>24</v>
      </c>
      <c r="G1180" s="5" t="s">
        <v>340</v>
      </c>
      <c r="H1180" s="1">
        <f t="shared" si="37"/>
        <v>600</v>
      </c>
    </row>
    <row r="1181" spans="1:8" x14ac:dyDescent="0.3">
      <c r="A1181" s="2" t="str">
        <f t="shared" si="36"/>
        <v>Jul-2024</v>
      </c>
      <c r="B1181" s="2">
        <v>45501.162775185185</v>
      </c>
      <c r="C1181" s="5" t="s">
        <v>12</v>
      </c>
      <c r="D1181" s="3">
        <v>2</v>
      </c>
      <c r="E1181" s="4">
        <v>3500</v>
      </c>
      <c r="F1181" s="5" t="s">
        <v>13</v>
      </c>
      <c r="G1181" s="5" t="s">
        <v>415</v>
      </c>
      <c r="H1181" s="1">
        <f t="shared" si="37"/>
        <v>7000</v>
      </c>
    </row>
    <row r="1182" spans="1:8" x14ac:dyDescent="0.3">
      <c r="A1182" s="2" t="str">
        <f t="shared" si="36"/>
        <v>Jul-2024</v>
      </c>
      <c r="B1182" s="2">
        <v>45501.649766516202</v>
      </c>
      <c r="C1182" s="5" t="s">
        <v>9</v>
      </c>
      <c r="D1182" s="3">
        <v>4</v>
      </c>
      <c r="E1182" s="4">
        <v>450</v>
      </c>
      <c r="F1182" s="5" t="s">
        <v>7</v>
      </c>
      <c r="G1182" s="5" t="s">
        <v>146</v>
      </c>
      <c r="H1182" s="1">
        <f t="shared" si="37"/>
        <v>1800</v>
      </c>
    </row>
    <row r="1183" spans="1:8" x14ac:dyDescent="0.3">
      <c r="A1183" s="2" t="str">
        <f t="shared" si="36"/>
        <v>Jul-2024</v>
      </c>
      <c r="B1183" s="2">
        <v>45502.136757835651</v>
      </c>
      <c r="C1183" s="5" t="s">
        <v>6</v>
      </c>
      <c r="D1183" s="3">
        <v>4</v>
      </c>
      <c r="E1183" s="4">
        <v>450</v>
      </c>
      <c r="F1183" s="5" t="s">
        <v>13</v>
      </c>
      <c r="G1183" s="5" t="s">
        <v>171</v>
      </c>
      <c r="H1183" s="1">
        <f t="shared" si="37"/>
        <v>1800</v>
      </c>
    </row>
    <row r="1184" spans="1:8" x14ac:dyDescent="0.3">
      <c r="A1184" s="2" t="str">
        <f t="shared" si="36"/>
        <v>Jul-2024</v>
      </c>
      <c r="B1184" s="2">
        <v>45502.623749166669</v>
      </c>
      <c r="C1184" s="5" t="s">
        <v>12</v>
      </c>
      <c r="D1184" s="3">
        <v>2</v>
      </c>
      <c r="E1184" s="4">
        <v>150</v>
      </c>
      <c r="F1184" s="5" t="s">
        <v>13</v>
      </c>
      <c r="G1184" s="5" t="s">
        <v>21</v>
      </c>
      <c r="H1184" s="1">
        <f t="shared" si="37"/>
        <v>300</v>
      </c>
    </row>
    <row r="1185" spans="1:8" x14ac:dyDescent="0.3">
      <c r="A1185" s="2" t="str">
        <f t="shared" si="36"/>
        <v>Jul-2024</v>
      </c>
      <c r="B1185" s="2">
        <v>45503.110740497686</v>
      </c>
      <c r="C1185" s="5" t="s">
        <v>26</v>
      </c>
      <c r="D1185" s="3">
        <v>3</v>
      </c>
      <c r="E1185" s="4">
        <v>450</v>
      </c>
      <c r="F1185" s="5" t="s">
        <v>13</v>
      </c>
      <c r="G1185" s="5" t="s">
        <v>475</v>
      </c>
      <c r="H1185" s="1">
        <f t="shared" si="37"/>
        <v>1350</v>
      </c>
    </row>
    <row r="1186" spans="1:8" x14ac:dyDescent="0.3">
      <c r="A1186" s="2" t="str">
        <f t="shared" si="36"/>
        <v>Jul-2024</v>
      </c>
      <c r="B1186" s="2">
        <v>45503.597731817128</v>
      </c>
      <c r="C1186" s="5" t="s">
        <v>17</v>
      </c>
      <c r="D1186" s="3">
        <v>1</v>
      </c>
      <c r="E1186" s="4">
        <v>1800</v>
      </c>
      <c r="F1186" s="5" t="s">
        <v>24</v>
      </c>
      <c r="G1186" s="5" t="s">
        <v>260</v>
      </c>
      <c r="H1186" s="1">
        <f t="shared" si="37"/>
        <v>1800</v>
      </c>
    </row>
    <row r="1187" spans="1:8" x14ac:dyDescent="0.3">
      <c r="A1187" s="2" t="str">
        <f t="shared" si="36"/>
        <v>Jul-2024</v>
      </c>
      <c r="B1187" s="2">
        <v>45504.084723148146</v>
      </c>
      <c r="C1187" s="5" t="s">
        <v>26</v>
      </c>
      <c r="D1187" s="3">
        <v>5</v>
      </c>
      <c r="E1187" s="4">
        <v>1200</v>
      </c>
      <c r="F1187" s="5" t="s">
        <v>7</v>
      </c>
      <c r="G1187" s="5" t="s">
        <v>276</v>
      </c>
      <c r="H1187" s="1">
        <f t="shared" si="37"/>
        <v>6000</v>
      </c>
    </row>
    <row r="1188" spans="1:8" x14ac:dyDescent="0.3">
      <c r="A1188" s="2" t="str">
        <f t="shared" si="36"/>
        <v>Jul-2024</v>
      </c>
      <c r="B1188" s="2">
        <v>45504.571714479163</v>
      </c>
      <c r="C1188" s="5" t="s">
        <v>26</v>
      </c>
      <c r="D1188" s="3">
        <v>4</v>
      </c>
      <c r="E1188" s="4">
        <v>1200</v>
      </c>
      <c r="F1188" s="5" t="s">
        <v>10</v>
      </c>
      <c r="G1188" s="5" t="s">
        <v>339</v>
      </c>
      <c r="H1188" s="1">
        <f t="shared" si="37"/>
        <v>4800</v>
      </c>
    </row>
    <row r="1189" spans="1:8" x14ac:dyDescent="0.3">
      <c r="A1189" s="2" t="str">
        <f t="shared" si="36"/>
        <v>Aug-2024</v>
      </c>
      <c r="B1189" s="2">
        <v>45505.058705798612</v>
      </c>
      <c r="C1189" s="5" t="s">
        <v>17</v>
      </c>
      <c r="D1189" s="3">
        <v>5</v>
      </c>
      <c r="E1189" s="4">
        <v>150</v>
      </c>
      <c r="F1189" s="5" t="s">
        <v>10</v>
      </c>
      <c r="G1189" s="5" t="s">
        <v>52</v>
      </c>
      <c r="H1189" s="1">
        <f t="shared" si="37"/>
        <v>750</v>
      </c>
    </row>
    <row r="1190" spans="1:8" x14ac:dyDescent="0.3">
      <c r="A1190" s="2" t="str">
        <f t="shared" si="36"/>
        <v>Aug-2024</v>
      </c>
      <c r="B1190" s="2">
        <v>45505.54569712963</v>
      </c>
      <c r="C1190" s="5" t="s">
        <v>26</v>
      </c>
      <c r="D1190" s="3">
        <v>6</v>
      </c>
      <c r="E1190" s="4">
        <v>700</v>
      </c>
      <c r="F1190" s="5" t="s">
        <v>7</v>
      </c>
      <c r="G1190" s="5" t="s">
        <v>268</v>
      </c>
      <c r="H1190" s="1">
        <f t="shared" si="37"/>
        <v>4200</v>
      </c>
    </row>
    <row r="1191" spans="1:8" x14ac:dyDescent="0.3">
      <c r="A1191" s="2" t="str">
        <f t="shared" si="36"/>
        <v>Aug-2024</v>
      </c>
      <c r="B1191" s="2">
        <v>45506.032688460647</v>
      </c>
      <c r="C1191" s="5" t="s">
        <v>12</v>
      </c>
      <c r="D1191" s="3">
        <v>2</v>
      </c>
      <c r="E1191" s="4">
        <v>3500</v>
      </c>
      <c r="F1191" s="5" t="s">
        <v>7</v>
      </c>
      <c r="G1191" s="5" t="s">
        <v>476</v>
      </c>
      <c r="H1191" s="1">
        <f t="shared" si="37"/>
        <v>7000</v>
      </c>
    </row>
    <row r="1192" spans="1:8" x14ac:dyDescent="0.3">
      <c r="A1192" s="2" t="str">
        <f t="shared" si="36"/>
        <v>Aug-2024</v>
      </c>
      <c r="B1192" s="2">
        <v>45506.519679791665</v>
      </c>
      <c r="C1192" s="5" t="s">
        <v>6</v>
      </c>
      <c r="D1192" s="3">
        <v>5</v>
      </c>
      <c r="E1192" s="4">
        <v>150</v>
      </c>
      <c r="F1192" s="5" t="s">
        <v>7</v>
      </c>
      <c r="G1192" s="5" t="s">
        <v>150</v>
      </c>
      <c r="H1192" s="1">
        <f t="shared" si="37"/>
        <v>750</v>
      </c>
    </row>
    <row r="1193" spans="1:8" x14ac:dyDescent="0.3">
      <c r="A1193" s="2" t="str">
        <f t="shared" si="36"/>
        <v>Aug-2024</v>
      </c>
      <c r="B1193" s="2">
        <v>45507.006671111114</v>
      </c>
      <c r="C1193" s="5" t="s">
        <v>17</v>
      </c>
      <c r="D1193" s="3">
        <v>2</v>
      </c>
      <c r="E1193" s="4">
        <v>450</v>
      </c>
      <c r="F1193" s="5" t="s">
        <v>24</v>
      </c>
      <c r="G1193" s="5" t="s">
        <v>292</v>
      </c>
      <c r="H1193" s="1">
        <f t="shared" si="37"/>
        <v>900</v>
      </c>
    </row>
    <row r="1194" spans="1:8" x14ac:dyDescent="0.3">
      <c r="A1194" s="2" t="str">
        <f t="shared" si="36"/>
        <v>Aug-2024</v>
      </c>
      <c r="B1194" s="2">
        <v>45507.493662442132</v>
      </c>
      <c r="C1194" s="5" t="s">
        <v>9</v>
      </c>
      <c r="D1194" s="3">
        <v>5</v>
      </c>
      <c r="E1194" s="4">
        <v>3500</v>
      </c>
      <c r="F1194" s="5" t="s">
        <v>10</v>
      </c>
      <c r="G1194" s="5" t="s">
        <v>86</v>
      </c>
      <c r="H1194" s="1">
        <f t="shared" si="37"/>
        <v>17500</v>
      </c>
    </row>
    <row r="1195" spans="1:8" x14ac:dyDescent="0.3">
      <c r="A1195" s="2" t="str">
        <f t="shared" si="36"/>
        <v>Aug-2024</v>
      </c>
      <c r="B1195" s="2">
        <v>45507.980653773149</v>
      </c>
      <c r="C1195" s="5" t="s">
        <v>26</v>
      </c>
      <c r="D1195" s="3">
        <v>1</v>
      </c>
      <c r="E1195" s="4">
        <v>700</v>
      </c>
      <c r="F1195" s="5" t="s">
        <v>7</v>
      </c>
      <c r="G1195" s="5" t="s">
        <v>174</v>
      </c>
      <c r="H1195" s="1">
        <f t="shared" si="37"/>
        <v>700</v>
      </c>
    </row>
    <row r="1196" spans="1:8" x14ac:dyDescent="0.3">
      <c r="A1196" s="2" t="str">
        <f t="shared" si="36"/>
        <v>Aug-2024</v>
      </c>
      <c r="B1196" s="2">
        <v>45508.467645092591</v>
      </c>
      <c r="C1196" s="5" t="s">
        <v>17</v>
      </c>
      <c r="D1196" s="3">
        <v>1</v>
      </c>
      <c r="E1196" s="4">
        <v>450</v>
      </c>
      <c r="F1196" s="5" t="s">
        <v>24</v>
      </c>
      <c r="G1196" s="5" t="s">
        <v>149</v>
      </c>
      <c r="H1196" s="1">
        <f t="shared" si="37"/>
        <v>450</v>
      </c>
    </row>
    <row r="1197" spans="1:8" x14ac:dyDescent="0.3">
      <c r="A1197" s="2" t="str">
        <f t="shared" si="36"/>
        <v>Aug-2024</v>
      </c>
      <c r="B1197" s="2">
        <v>45508.954636423608</v>
      </c>
      <c r="C1197" s="5" t="s">
        <v>36</v>
      </c>
      <c r="D1197" s="3">
        <v>1</v>
      </c>
      <c r="E1197" s="4">
        <v>1800</v>
      </c>
      <c r="F1197" s="5" t="s">
        <v>10</v>
      </c>
      <c r="G1197" s="5" t="s">
        <v>163</v>
      </c>
      <c r="H1197" s="1">
        <f t="shared" si="37"/>
        <v>1800</v>
      </c>
    </row>
    <row r="1198" spans="1:8" x14ac:dyDescent="0.3">
      <c r="A1198" s="2" t="str">
        <f t="shared" si="36"/>
        <v>Aug-2024</v>
      </c>
      <c r="B1198" s="2">
        <v>45509.441627754626</v>
      </c>
      <c r="C1198" s="5" t="s">
        <v>36</v>
      </c>
      <c r="D1198" s="3">
        <v>1</v>
      </c>
      <c r="E1198" s="4">
        <v>450</v>
      </c>
      <c r="F1198" s="5" t="s">
        <v>13</v>
      </c>
      <c r="G1198" s="5" t="s">
        <v>438</v>
      </c>
      <c r="H1198" s="1">
        <f t="shared" si="37"/>
        <v>450</v>
      </c>
    </row>
    <row r="1199" spans="1:8" x14ac:dyDescent="0.3">
      <c r="A1199" s="2" t="str">
        <f t="shared" si="36"/>
        <v>Aug-2024</v>
      </c>
      <c r="B1199" s="2">
        <v>45509.928619074075</v>
      </c>
      <c r="C1199" s="5" t="s">
        <v>6</v>
      </c>
      <c r="D1199" s="3">
        <v>1</v>
      </c>
      <c r="E1199" s="4">
        <v>1800</v>
      </c>
      <c r="F1199" s="5" t="s">
        <v>24</v>
      </c>
      <c r="G1199" s="5" t="s">
        <v>439</v>
      </c>
      <c r="H1199" s="1">
        <f t="shared" si="37"/>
        <v>1800</v>
      </c>
    </row>
    <row r="1200" spans="1:8" x14ac:dyDescent="0.3">
      <c r="A1200" s="2" t="str">
        <f t="shared" si="36"/>
        <v>Aug-2024</v>
      </c>
      <c r="B1200" s="2">
        <v>45510.415610405093</v>
      </c>
      <c r="C1200" s="5" t="s">
        <v>12</v>
      </c>
      <c r="D1200" s="3">
        <v>1</v>
      </c>
      <c r="E1200" s="4">
        <v>3500</v>
      </c>
      <c r="F1200" s="5" t="s">
        <v>10</v>
      </c>
      <c r="G1200" s="5" t="s">
        <v>460</v>
      </c>
      <c r="H1200" s="1">
        <f t="shared" si="37"/>
        <v>3500</v>
      </c>
    </row>
    <row r="1201" spans="1:8" x14ac:dyDescent="0.3">
      <c r="A1201" s="2" t="str">
        <f t="shared" si="36"/>
        <v>Aug-2024</v>
      </c>
      <c r="B1201" s="2">
        <v>45510.90260173611</v>
      </c>
      <c r="C1201" s="5" t="s">
        <v>6</v>
      </c>
      <c r="D1201" s="3">
        <v>2</v>
      </c>
      <c r="E1201" s="4">
        <v>1800</v>
      </c>
      <c r="F1201" s="5" t="s">
        <v>24</v>
      </c>
      <c r="G1201" s="5" t="s">
        <v>182</v>
      </c>
      <c r="H1201" s="1">
        <f t="shared" si="37"/>
        <v>3600</v>
      </c>
    </row>
    <row r="1202" spans="1:8" x14ac:dyDescent="0.3">
      <c r="A1202" s="2" t="str">
        <f t="shared" si="36"/>
        <v>Aug-2024</v>
      </c>
      <c r="B1202" s="2">
        <v>45511.389593067128</v>
      </c>
      <c r="C1202" s="5" t="s">
        <v>6</v>
      </c>
      <c r="D1202" s="3">
        <v>4</v>
      </c>
      <c r="E1202" s="4">
        <v>3500</v>
      </c>
      <c r="F1202" s="5" t="s">
        <v>10</v>
      </c>
      <c r="G1202" s="5" t="s">
        <v>454</v>
      </c>
      <c r="H1202" s="1">
        <f t="shared" si="37"/>
        <v>14000</v>
      </c>
    </row>
    <row r="1203" spans="1:8" x14ac:dyDescent="0.3">
      <c r="A1203" s="2" t="str">
        <f t="shared" si="36"/>
        <v>Aug-2024</v>
      </c>
      <c r="B1203" s="2">
        <v>45511.876584386577</v>
      </c>
      <c r="C1203" s="5" t="s">
        <v>6</v>
      </c>
      <c r="D1203" s="3">
        <v>5</v>
      </c>
      <c r="E1203" s="4">
        <v>3500</v>
      </c>
      <c r="F1203" s="5" t="s">
        <v>10</v>
      </c>
      <c r="G1203" s="5" t="s">
        <v>68</v>
      </c>
      <c r="H1203" s="1">
        <f t="shared" si="37"/>
        <v>17500</v>
      </c>
    </row>
    <row r="1204" spans="1:8" x14ac:dyDescent="0.3">
      <c r="A1204" s="2" t="str">
        <f t="shared" si="36"/>
        <v>Aug-2024</v>
      </c>
      <c r="B1204" s="2">
        <v>45512.363575717594</v>
      </c>
      <c r="C1204" s="5" t="s">
        <v>6</v>
      </c>
      <c r="D1204" s="3">
        <v>1</v>
      </c>
      <c r="E1204" s="4">
        <v>3500</v>
      </c>
      <c r="F1204" s="5" t="s">
        <v>13</v>
      </c>
      <c r="G1204" s="5" t="s">
        <v>320</v>
      </c>
      <c r="H1204" s="1">
        <f t="shared" si="37"/>
        <v>3500</v>
      </c>
    </row>
    <row r="1205" spans="1:8" x14ac:dyDescent="0.3">
      <c r="A1205" s="2" t="str">
        <f t="shared" si="36"/>
        <v>Aug-2024</v>
      </c>
      <c r="B1205" s="2">
        <v>45512.850567048612</v>
      </c>
      <c r="C1205" s="5" t="s">
        <v>9</v>
      </c>
      <c r="D1205" s="3">
        <v>2</v>
      </c>
      <c r="E1205" s="4">
        <v>3500</v>
      </c>
      <c r="F1205" s="5" t="s">
        <v>24</v>
      </c>
      <c r="G1205" s="5" t="s">
        <v>128</v>
      </c>
      <c r="H1205" s="1">
        <f t="shared" si="37"/>
        <v>7000</v>
      </c>
    </row>
    <row r="1206" spans="1:8" x14ac:dyDescent="0.3">
      <c r="A1206" s="2" t="str">
        <f t="shared" si="36"/>
        <v>Aug-2024</v>
      </c>
      <c r="B1206" s="2">
        <v>45513.337558368054</v>
      </c>
      <c r="C1206" s="5" t="s">
        <v>9</v>
      </c>
      <c r="D1206" s="3">
        <v>2</v>
      </c>
      <c r="E1206" s="4">
        <v>3500</v>
      </c>
      <c r="F1206" s="5" t="s">
        <v>7</v>
      </c>
      <c r="G1206" s="5" t="s">
        <v>250</v>
      </c>
      <c r="H1206" s="1">
        <f t="shared" si="37"/>
        <v>7000</v>
      </c>
    </row>
    <row r="1207" spans="1:8" x14ac:dyDescent="0.3">
      <c r="A1207" s="2" t="str">
        <f t="shared" si="36"/>
        <v>Aug-2024</v>
      </c>
      <c r="B1207" s="2">
        <v>45513.824549699071</v>
      </c>
      <c r="C1207" s="5" t="s">
        <v>17</v>
      </c>
      <c r="D1207" s="3">
        <v>2</v>
      </c>
      <c r="E1207" s="4">
        <v>450</v>
      </c>
      <c r="F1207" s="5" t="s">
        <v>13</v>
      </c>
      <c r="G1207" s="5" t="s">
        <v>262</v>
      </c>
      <c r="H1207" s="1">
        <f t="shared" si="37"/>
        <v>900</v>
      </c>
    </row>
    <row r="1208" spans="1:8" x14ac:dyDescent="0.3">
      <c r="A1208" s="2" t="str">
        <f t="shared" si="36"/>
        <v>Aug-2024</v>
      </c>
      <c r="B1208" s="2">
        <v>45514.311541030096</v>
      </c>
      <c r="C1208" s="5" t="s">
        <v>36</v>
      </c>
      <c r="D1208" s="3">
        <v>4</v>
      </c>
      <c r="E1208" s="4">
        <v>3500</v>
      </c>
      <c r="F1208" s="5" t="s">
        <v>13</v>
      </c>
      <c r="G1208" s="5" t="s">
        <v>477</v>
      </c>
      <c r="H1208" s="1">
        <f t="shared" si="37"/>
        <v>14000</v>
      </c>
    </row>
    <row r="1209" spans="1:8" x14ac:dyDescent="0.3">
      <c r="A1209" s="2" t="str">
        <f t="shared" si="36"/>
        <v>Aug-2024</v>
      </c>
      <c r="B1209" s="2">
        <v>45514.798532349538</v>
      </c>
      <c r="C1209" s="5" t="s">
        <v>6</v>
      </c>
      <c r="D1209" s="3">
        <v>5</v>
      </c>
      <c r="E1209" s="4">
        <v>450</v>
      </c>
      <c r="F1209" s="5" t="s">
        <v>10</v>
      </c>
      <c r="G1209" s="5" t="s">
        <v>156</v>
      </c>
      <c r="H1209" s="1">
        <f t="shared" si="37"/>
        <v>2250</v>
      </c>
    </row>
    <row r="1210" spans="1:8" x14ac:dyDescent="0.3">
      <c r="A1210" s="2" t="str">
        <f t="shared" si="36"/>
        <v>Aug-2024</v>
      </c>
      <c r="B1210" s="2">
        <v>45515.285523680555</v>
      </c>
      <c r="C1210" s="5" t="s">
        <v>17</v>
      </c>
      <c r="D1210" s="3">
        <v>4</v>
      </c>
      <c r="E1210" s="4">
        <v>3500</v>
      </c>
      <c r="F1210" s="5" t="s">
        <v>7</v>
      </c>
      <c r="G1210" s="5" t="s">
        <v>478</v>
      </c>
      <c r="H1210" s="1">
        <f t="shared" si="37"/>
        <v>14000</v>
      </c>
    </row>
    <row r="1211" spans="1:8" x14ac:dyDescent="0.3">
      <c r="A1211" s="2" t="str">
        <f t="shared" si="36"/>
        <v>Aug-2024</v>
      </c>
      <c r="B1211" s="2">
        <v>45515.772515011573</v>
      </c>
      <c r="C1211" s="5" t="s">
        <v>36</v>
      </c>
      <c r="D1211" s="3">
        <v>3</v>
      </c>
      <c r="E1211" s="4">
        <v>1800</v>
      </c>
      <c r="F1211" s="5" t="s">
        <v>24</v>
      </c>
      <c r="G1211" s="5" t="s">
        <v>244</v>
      </c>
      <c r="H1211" s="1">
        <f t="shared" si="37"/>
        <v>5400</v>
      </c>
    </row>
    <row r="1212" spans="1:8" x14ac:dyDescent="0.3">
      <c r="A1212" s="2" t="str">
        <f t="shared" si="36"/>
        <v>Aug-2024</v>
      </c>
      <c r="B1212" s="2">
        <v>45516.259506342591</v>
      </c>
      <c r="C1212" s="5" t="s">
        <v>26</v>
      </c>
      <c r="D1212" s="3">
        <v>2</v>
      </c>
      <c r="E1212" s="4">
        <v>3500</v>
      </c>
      <c r="F1212" s="5" t="s">
        <v>7</v>
      </c>
      <c r="G1212" s="5" t="s">
        <v>378</v>
      </c>
      <c r="H1212" s="1">
        <f t="shared" si="37"/>
        <v>7000</v>
      </c>
    </row>
    <row r="1213" spans="1:8" x14ac:dyDescent="0.3">
      <c r="A1213" s="2" t="str">
        <f t="shared" si="36"/>
        <v>Aug-2024</v>
      </c>
      <c r="B1213" s="2">
        <v>45516.746497662039</v>
      </c>
      <c r="C1213" s="5" t="s">
        <v>12</v>
      </c>
      <c r="D1213" s="3">
        <v>3</v>
      </c>
      <c r="E1213" s="4">
        <v>700</v>
      </c>
      <c r="F1213" s="5" t="s">
        <v>7</v>
      </c>
      <c r="G1213" s="5" t="s">
        <v>247</v>
      </c>
      <c r="H1213" s="1">
        <f t="shared" si="37"/>
        <v>2100</v>
      </c>
    </row>
    <row r="1214" spans="1:8" x14ac:dyDescent="0.3">
      <c r="A1214" s="2" t="str">
        <f t="shared" si="36"/>
        <v>Aug-2024</v>
      </c>
      <c r="B1214" s="2">
        <v>45517.233488993057</v>
      </c>
      <c r="C1214" s="5" t="s">
        <v>9</v>
      </c>
      <c r="D1214" s="3">
        <v>6</v>
      </c>
      <c r="E1214" s="4">
        <v>3500</v>
      </c>
      <c r="F1214" s="5" t="s">
        <v>7</v>
      </c>
      <c r="G1214" s="5" t="s">
        <v>22</v>
      </c>
      <c r="H1214" s="1">
        <f t="shared" si="37"/>
        <v>21000</v>
      </c>
    </row>
    <row r="1215" spans="1:8" x14ac:dyDescent="0.3">
      <c r="A1215" s="2" t="str">
        <f t="shared" si="36"/>
        <v>Aug-2024</v>
      </c>
      <c r="B1215" s="2">
        <v>45517.720480324075</v>
      </c>
      <c r="C1215" s="5" t="s">
        <v>26</v>
      </c>
      <c r="D1215" s="3">
        <v>1</v>
      </c>
      <c r="E1215" s="4">
        <v>3500</v>
      </c>
      <c r="F1215" s="5" t="s">
        <v>7</v>
      </c>
      <c r="G1215" s="5" t="s">
        <v>467</v>
      </c>
      <c r="H1215" s="1">
        <f t="shared" si="37"/>
        <v>3500</v>
      </c>
    </row>
    <row r="1216" spans="1:8" x14ac:dyDescent="0.3">
      <c r="A1216" s="2" t="str">
        <f t="shared" si="36"/>
        <v>Aug-2024</v>
      </c>
      <c r="B1216" s="2">
        <v>45518.207471643516</v>
      </c>
      <c r="C1216" s="5" t="s">
        <v>36</v>
      </c>
      <c r="D1216" s="3">
        <v>1</v>
      </c>
      <c r="E1216" s="4">
        <v>1800</v>
      </c>
      <c r="F1216" s="5" t="s">
        <v>7</v>
      </c>
      <c r="G1216" s="5" t="s">
        <v>35</v>
      </c>
      <c r="H1216" s="1">
        <f t="shared" si="37"/>
        <v>1800</v>
      </c>
    </row>
    <row r="1217" spans="1:8" x14ac:dyDescent="0.3">
      <c r="A1217" s="2" t="str">
        <f t="shared" si="36"/>
        <v>Aug-2024</v>
      </c>
      <c r="B1217" s="2">
        <v>45518.694462974534</v>
      </c>
      <c r="C1217" s="5" t="s">
        <v>26</v>
      </c>
      <c r="D1217" s="3">
        <v>4</v>
      </c>
      <c r="E1217" s="4">
        <v>1200</v>
      </c>
      <c r="F1217" s="5" t="s">
        <v>10</v>
      </c>
      <c r="G1217" s="5" t="s">
        <v>238</v>
      </c>
      <c r="H1217" s="1">
        <f t="shared" si="37"/>
        <v>4800</v>
      </c>
    </row>
    <row r="1218" spans="1:8" x14ac:dyDescent="0.3">
      <c r="A1218" s="2" t="str">
        <f t="shared" si="36"/>
        <v>Aug-2024</v>
      </c>
      <c r="B1218" s="2">
        <v>45519.181454305559</v>
      </c>
      <c r="C1218" s="5" t="s">
        <v>12</v>
      </c>
      <c r="D1218" s="3">
        <v>5</v>
      </c>
      <c r="E1218" s="4">
        <v>1800</v>
      </c>
      <c r="F1218" s="5" t="s">
        <v>10</v>
      </c>
      <c r="G1218" s="5" t="s">
        <v>8</v>
      </c>
      <c r="H1218" s="1">
        <f t="shared" si="37"/>
        <v>9000</v>
      </c>
    </row>
    <row r="1219" spans="1:8" x14ac:dyDescent="0.3">
      <c r="A1219" s="2" t="str">
        <f t="shared" ref="A1219:A1282" si="38">TEXT(B1219, "mmm-yyyy")</f>
        <v>Aug-2024</v>
      </c>
      <c r="B1219" s="2">
        <v>45519.668445625</v>
      </c>
      <c r="C1219" s="5" t="s">
        <v>36</v>
      </c>
      <c r="D1219" s="3">
        <v>3</v>
      </c>
      <c r="E1219" s="4">
        <v>700</v>
      </c>
      <c r="F1219" s="5" t="s">
        <v>13</v>
      </c>
      <c r="G1219" s="5" t="s">
        <v>418</v>
      </c>
      <c r="H1219" s="1">
        <f t="shared" ref="H1219:H1282" si="39" xml:space="preserve"> D1219 * E1219</f>
        <v>2100</v>
      </c>
    </row>
    <row r="1220" spans="1:8" x14ac:dyDescent="0.3">
      <c r="A1220" s="2" t="str">
        <f t="shared" si="38"/>
        <v>Aug-2024</v>
      </c>
      <c r="B1220" s="2">
        <v>45520.155436956018</v>
      </c>
      <c r="C1220" s="5" t="s">
        <v>26</v>
      </c>
      <c r="D1220" s="3">
        <v>5</v>
      </c>
      <c r="E1220" s="4">
        <v>1200</v>
      </c>
      <c r="F1220" s="5" t="s">
        <v>10</v>
      </c>
      <c r="G1220" s="5" t="s">
        <v>114</v>
      </c>
      <c r="H1220" s="1">
        <f t="shared" si="39"/>
        <v>6000</v>
      </c>
    </row>
    <row r="1221" spans="1:8" x14ac:dyDescent="0.3">
      <c r="A1221" s="2" t="str">
        <f t="shared" si="38"/>
        <v>Aug-2024</v>
      </c>
      <c r="B1221" s="2">
        <v>45520.642428287036</v>
      </c>
      <c r="C1221" s="5" t="s">
        <v>9</v>
      </c>
      <c r="D1221" s="3">
        <v>4</v>
      </c>
      <c r="E1221" s="4">
        <v>150</v>
      </c>
      <c r="F1221" s="5" t="s">
        <v>13</v>
      </c>
      <c r="G1221" s="5" t="s">
        <v>136</v>
      </c>
      <c r="H1221" s="1">
        <f t="shared" si="39"/>
        <v>600</v>
      </c>
    </row>
    <row r="1222" spans="1:8" x14ac:dyDescent="0.3">
      <c r="A1222" s="2" t="str">
        <f t="shared" si="38"/>
        <v>Aug-2024</v>
      </c>
      <c r="B1222" s="2">
        <v>45521.129419618053</v>
      </c>
      <c r="C1222" s="5" t="s">
        <v>9</v>
      </c>
      <c r="D1222" s="3">
        <v>1</v>
      </c>
      <c r="E1222" s="4">
        <v>150</v>
      </c>
      <c r="F1222" s="5" t="s">
        <v>13</v>
      </c>
      <c r="G1222" s="5" t="s">
        <v>377</v>
      </c>
      <c r="H1222" s="1">
        <f t="shared" si="39"/>
        <v>150</v>
      </c>
    </row>
    <row r="1223" spans="1:8" x14ac:dyDescent="0.3">
      <c r="A1223" s="2" t="str">
        <f t="shared" si="38"/>
        <v>Aug-2024</v>
      </c>
      <c r="B1223" s="2">
        <v>45521.616410937502</v>
      </c>
      <c r="C1223" s="5" t="s">
        <v>17</v>
      </c>
      <c r="D1223" s="3">
        <v>5</v>
      </c>
      <c r="E1223" s="4">
        <v>700</v>
      </c>
      <c r="F1223" s="5" t="s">
        <v>24</v>
      </c>
      <c r="G1223" s="5" t="s">
        <v>91</v>
      </c>
      <c r="H1223" s="1">
        <f t="shared" si="39"/>
        <v>3500</v>
      </c>
    </row>
    <row r="1224" spans="1:8" x14ac:dyDescent="0.3">
      <c r="A1224" s="2" t="str">
        <f t="shared" si="38"/>
        <v>Aug-2024</v>
      </c>
      <c r="B1224" s="2">
        <v>45522.10340226852</v>
      </c>
      <c r="C1224" s="5" t="s">
        <v>26</v>
      </c>
      <c r="D1224" s="3">
        <v>5</v>
      </c>
      <c r="E1224" s="4">
        <v>1800</v>
      </c>
      <c r="F1224" s="5" t="s">
        <v>7</v>
      </c>
      <c r="G1224" s="5" t="s">
        <v>317</v>
      </c>
      <c r="H1224" s="1">
        <f t="shared" si="39"/>
        <v>9000</v>
      </c>
    </row>
    <row r="1225" spans="1:8" x14ac:dyDescent="0.3">
      <c r="A1225" s="2" t="str">
        <f t="shared" si="38"/>
        <v>Aug-2024</v>
      </c>
      <c r="B1225" s="2">
        <v>45522.590393599537</v>
      </c>
      <c r="C1225" s="5" t="s">
        <v>6</v>
      </c>
      <c r="D1225" s="3">
        <v>1</v>
      </c>
      <c r="E1225" s="4">
        <v>450</v>
      </c>
      <c r="F1225" s="5" t="s">
        <v>10</v>
      </c>
      <c r="G1225" s="5" t="s">
        <v>379</v>
      </c>
      <c r="H1225" s="1">
        <f t="shared" si="39"/>
        <v>450</v>
      </c>
    </row>
    <row r="1226" spans="1:8" x14ac:dyDescent="0.3">
      <c r="A1226" s="2" t="str">
        <f t="shared" si="38"/>
        <v>Aug-2024</v>
      </c>
      <c r="B1226" s="2">
        <v>45523.077384918979</v>
      </c>
      <c r="C1226" s="5" t="s">
        <v>26</v>
      </c>
      <c r="D1226" s="3">
        <v>3</v>
      </c>
      <c r="E1226" s="4">
        <v>700</v>
      </c>
      <c r="F1226" s="5" t="s">
        <v>24</v>
      </c>
      <c r="G1226" s="5" t="s">
        <v>153</v>
      </c>
      <c r="H1226" s="1">
        <f t="shared" si="39"/>
        <v>2100</v>
      </c>
    </row>
    <row r="1227" spans="1:8" x14ac:dyDescent="0.3">
      <c r="A1227" s="2" t="str">
        <f t="shared" si="38"/>
        <v>Aug-2024</v>
      </c>
      <c r="B1227" s="2">
        <v>45523.564376249997</v>
      </c>
      <c r="C1227" s="5" t="s">
        <v>36</v>
      </c>
      <c r="D1227" s="3">
        <v>1</v>
      </c>
      <c r="E1227" s="4">
        <v>1200</v>
      </c>
      <c r="F1227" s="5" t="s">
        <v>10</v>
      </c>
      <c r="G1227" s="5" t="s">
        <v>22</v>
      </c>
      <c r="H1227" s="1">
        <f t="shared" si="39"/>
        <v>1200</v>
      </c>
    </row>
    <row r="1228" spans="1:8" x14ac:dyDescent="0.3">
      <c r="A1228" s="2" t="str">
        <f t="shared" si="38"/>
        <v>Aug-2024</v>
      </c>
      <c r="B1228" s="2">
        <v>45524.051367581022</v>
      </c>
      <c r="C1228" s="5" t="s">
        <v>36</v>
      </c>
      <c r="D1228" s="3">
        <v>5</v>
      </c>
      <c r="E1228" s="4">
        <v>1200</v>
      </c>
      <c r="F1228" s="5" t="s">
        <v>13</v>
      </c>
      <c r="G1228" s="5" t="s">
        <v>479</v>
      </c>
      <c r="H1228" s="1">
        <f t="shared" si="39"/>
        <v>6000</v>
      </c>
    </row>
    <row r="1229" spans="1:8" x14ac:dyDescent="0.3">
      <c r="A1229" s="2" t="str">
        <f t="shared" si="38"/>
        <v>Aug-2024</v>
      </c>
      <c r="B1229" s="2">
        <v>45524.538358900463</v>
      </c>
      <c r="C1229" s="5" t="s">
        <v>26</v>
      </c>
      <c r="D1229" s="3">
        <v>3</v>
      </c>
      <c r="E1229" s="4">
        <v>3500</v>
      </c>
      <c r="F1229" s="5" t="s">
        <v>10</v>
      </c>
      <c r="G1229" s="5" t="s">
        <v>397</v>
      </c>
      <c r="H1229" s="1">
        <f t="shared" si="39"/>
        <v>10500</v>
      </c>
    </row>
    <row r="1230" spans="1:8" x14ac:dyDescent="0.3">
      <c r="A1230" s="2" t="str">
        <f t="shared" si="38"/>
        <v>Aug-2024</v>
      </c>
      <c r="B1230" s="2">
        <v>45525.025350231481</v>
      </c>
      <c r="C1230" s="5" t="s">
        <v>12</v>
      </c>
      <c r="D1230" s="3">
        <v>3</v>
      </c>
      <c r="E1230" s="4">
        <v>150</v>
      </c>
      <c r="F1230" s="5" t="s">
        <v>7</v>
      </c>
      <c r="G1230" s="5" t="s">
        <v>264</v>
      </c>
      <c r="H1230" s="1">
        <f t="shared" si="39"/>
        <v>450</v>
      </c>
    </row>
    <row r="1231" spans="1:8" x14ac:dyDescent="0.3">
      <c r="A1231" s="2" t="str">
        <f t="shared" si="38"/>
        <v>Aug-2024</v>
      </c>
      <c r="B1231" s="2">
        <v>45525.512341562498</v>
      </c>
      <c r="C1231" s="5" t="s">
        <v>9</v>
      </c>
      <c r="D1231" s="3">
        <v>1</v>
      </c>
      <c r="E1231" s="4">
        <v>1200</v>
      </c>
      <c r="F1231" s="5" t="s">
        <v>13</v>
      </c>
      <c r="G1231" s="5" t="s">
        <v>272</v>
      </c>
      <c r="H1231" s="1">
        <f t="shared" si="39"/>
        <v>1200</v>
      </c>
    </row>
    <row r="1232" spans="1:8" x14ac:dyDescent="0.3">
      <c r="A1232" s="2" t="str">
        <f t="shared" si="38"/>
        <v>Aug-2024</v>
      </c>
      <c r="B1232" s="2">
        <v>45525.999332893516</v>
      </c>
      <c r="C1232" s="5" t="s">
        <v>36</v>
      </c>
      <c r="D1232" s="3">
        <v>5</v>
      </c>
      <c r="E1232" s="4">
        <v>700</v>
      </c>
      <c r="F1232" s="5" t="s">
        <v>13</v>
      </c>
      <c r="G1232" s="5" t="s">
        <v>31</v>
      </c>
      <c r="H1232" s="1">
        <f t="shared" si="39"/>
        <v>3500</v>
      </c>
    </row>
    <row r="1233" spans="1:8" x14ac:dyDescent="0.3">
      <c r="A1233" s="2" t="str">
        <f t="shared" si="38"/>
        <v>Aug-2024</v>
      </c>
      <c r="B1233" s="2">
        <v>45526.486324212965</v>
      </c>
      <c r="C1233" s="5" t="s">
        <v>9</v>
      </c>
      <c r="D1233" s="3">
        <v>4</v>
      </c>
      <c r="E1233" s="4">
        <v>1200</v>
      </c>
      <c r="F1233" s="5" t="s">
        <v>24</v>
      </c>
      <c r="G1233" s="5" t="s">
        <v>177</v>
      </c>
      <c r="H1233" s="1">
        <f t="shared" si="39"/>
        <v>4800</v>
      </c>
    </row>
    <row r="1234" spans="1:8" x14ac:dyDescent="0.3">
      <c r="A1234" s="2" t="str">
        <f t="shared" si="38"/>
        <v>Aug-2024</v>
      </c>
      <c r="B1234" s="2">
        <v>45526.973315543983</v>
      </c>
      <c r="C1234" s="5" t="s">
        <v>36</v>
      </c>
      <c r="D1234" s="3">
        <v>5</v>
      </c>
      <c r="E1234" s="4">
        <v>700</v>
      </c>
      <c r="F1234" s="5" t="s">
        <v>7</v>
      </c>
      <c r="G1234" s="5" t="s">
        <v>252</v>
      </c>
      <c r="H1234" s="1">
        <f t="shared" si="39"/>
        <v>3500</v>
      </c>
    </row>
    <row r="1235" spans="1:8" x14ac:dyDescent="0.3">
      <c r="A1235" s="2" t="str">
        <f t="shared" si="38"/>
        <v>Aug-2024</v>
      </c>
      <c r="B1235" s="2">
        <v>45527.460306875</v>
      </c>
      <c r="C1235" s="5" t="s">
        <v>17</v>
      </c>
      <c r="D1235" s="3">
        <v>2</v>
      </c>
      <c r="E1235" s="4">
        <v>450</v>
      </c>
      <c r="F1235" s="5" t="s">
        <v>13</v>
      </c>
      <c r="G1235" s="5" t="s">
        <v>477</v>
      </c>
      <c r="H1235" s="1">
        <f t="shared" si="39"/>
        <v>900</v>
      </c>
    </row>
    <row r="1236" spans="1:8" x14ac:dyDescent="0.3">
      <c r="A1236" s="2" t="str">
        <f t="shared" si="38"/>
        <v>Aug-2024</v>
      </c>
      <c r="B1236" s="2">
        <v>45527.947298194442</v>
      </c>
      <c r="C1236" s="5" t="s">
        <v>6</v>
      </c>
      <c r="D1236" s="3">
        <v>6</v>
      </c>
      <c r="E1236" s="4">
        <v>3500</v>
      </c>
      <c r="F1236" s="5" t="s">
        <v>7</v>
      </c>
      <c r="G1236" s="5" t="s">
        <v>436</v>
      </c>
      <c r="H1236" s="1">
        <f t="shared" si="39"/>
        <v>21000</v>
      </c>
    </row>
    <row r="1237" spans="1:8" x14ac:dyDescent="0.3">
      <c r="A1237" s="2" t="str">
        <f t="shared" si="38"/>
        <v>Aug-2024</v>
      </c>
      <c r="B1237" s="2">
        <v>45528.434289525459</v>
      </c>
      <c r="C1237" s="5" t="s">
        <v>36</v>
      </c>
      <c r="D1237" s="3">
        <v>4</v>
      </c>
      <c r="E1237" s="4">
        <v>150</v>
      </c>
      <c r="F1237" s="5" t="s">
        <v>10</v>
      </c>
      <c r="G1237" s="5" t="s">
        <v>480</v>
      </c>
      <c r="H1237" s="1">
        <f t="shared" si="39"/>
        <v>600</v>
      </c>
    </row>
    <row r="1238" spans="1:8" x14ac:dyDescent="0.3">
      <c r="A1238" s="2" t="str">
        <f t="shared" si="38"/>
        <v>Aug-2024</v>
      </c>
      <c r="B1238" s="2">
        <v>45528.921280856484</v>
      </c>
      <c r="C1238" s="5" t="s">
        <v>9</v>
      </c>
      <c r="D1238" s="3">
        <v>3</v>
      </c>
      <c r="E1238" s="4">
        <v>1200</v>
      </c>
      <c r="F1238" s="5" t="s">
        <v>7</v>
      </c>
      <c r="G1238" s="5" t="s">
        <v>21</v>
      </c>
      <c r="H1238" s="1">
        <f t="shared" si="39"/>
        <v>3600</v>
      </c>
    </row>
    <row r="1239" spans="1:8" x14ac:dyDescent="0.3">
      <c r="A1239" s="2" t="str">
        <f t="shared" si="38"/>
        <v>Aug-2024</v>
      </c>
      <c r="B1239" s="2">
        <v>45529.408272175926</v>
      </c>
      <c r="C1239" s="5" t="s">
        <v>17</v>
      </c>
      <c r="D1239" s="3">
        <v>4</v>
      </c>
      <c r="E1239" s="4">
        <v>700</v>
      </c>
      <c r="F1239" s="5" t="s">
        <v>13</v>
      </c>
      <c r="G1239" s="5" t="s">
        <v>47</v>
      </c>
      <c r="H1239" s="1">
        <f t="shared" si="39"/>
        <v>2800</v>
      </c>
    </row>
    <row r="1240" spans="1:8" x14ac:dyDescent="0.3">
      <c r="A1240" s="2" t="str">
        <f t="shared" si="38"/>
        <v>Aug-2024</v>
      </c>
      <c r="B1240" s="2">
        <v>45529.895263506944</v>
      </c>
      <c r="C1240" s="5" t="s">
        <v>36</v>
      </c>
      <c r="D1240" s="3">
        <v>3</v>
      </c>
      <c r="E1240" s="4">
        <v>1800</v>
      </c>
      <c r="F1240" s="5" t="s">
        <v>24</v>
      </c>
      <c r="G1240" s="5" t="s">
        <v>402</v>
      </c>
      <c r="H1240" s="1">
        <f t="shared" si="39"/>
        <v>5400</v>
      </c>
    </row>
    <row r="1241" spans="1:8" x14ac:dyDescent="0.3">
      <c r="A1241" s="2" t="str">
        <f t="shared" si="38"/>
        <v>Aug-2024</v>
      </c>
      <c r="B1241" s="2">
        <v>45530.382254837961</v>
      </c>
      <c r="C1241" s="5" t="s">
        <v>12</v>
      </c>
      <c r="D1241" s="3">
        <v>3</v>
      </c>
      <c r="E1241" s="4">
        <v>150</v>
      </c>
      <c r="F1241" s="5" t="s">
        <v>13</v>
      </c>
      <c r="G1241" s="5" t="s">
        <v>318</v>
      </c>
      <c r="H1241" s="1">
        <f t="shared" si="39"/>
        <v>450</v>
      </c>
    </row>
    <row r="1242" spans="1:8" x14ac:dyDescent="0.3">
      <c r="A1242" s="2" t="str">
        <f t="shared" si="38"/>
        <v>Aug-2024</v>
      </c>
      <c r="B1242" s="2">
        <v>45530.869246168979</v>
      </c>
      <c r="C1242" s="5" t="s">
        <v>6</v>
      </c>
      <c r="D1242" s="3">
        <v>4</v>
      </c>
      <c r="E1242" s="4">
        <v>450</v>
      </c>
      <c r="F1242" s="5" t="s">
        <v>7</v>
      </c>
      <c r="G1242" s="5" t="s">
        <v>481</v>
      </c>
      <c r="H1242" s="1">
        <f t="shared" si="39"/>
        <v>1800</v>
      </c>
    </row>
    <row r="1243" spans="1:8" x14ac:dyDescent="0.3">
      <c r="A1243" s="2" t="str">
        <f t="shared" si="38"/>
        <v>Aug-2024</v>
      </c>
      <c r="B1243" s="2">
        <v>45531.356237488428</v>
      </c>
      <c r="C1243" s="5" t="s">
        <v>36</v>
      </c>
      <c r="D1243" s="3">
        <v>3</v>
      </c>
      <c r="E1243" s="4">
        <v>700</v>
      </c>
      <c r="F1243" s="5" t="s">
        <v>7</v>
      </c>
      <c r="G1243" s="5" t="s">
        <v>290</v>
      </c>
      <c r="H1243" s="1">
        <f t="shared" si="39"/>
        <v>2100</v>
      </c>
    </row>
    <row r="1244" spans="1:8" x14ac:dyDescent="0.3">
      <c r="A1244" s="2" t="str">
        <f t="shared" si="38"/>
        <v>Aug-2024</v>
      </c>
      <c r="B1244" s="2">
        <v>45531.843228819445</v>
      </c>
      <c r="C1244" s="5" t="s">
        <v>17</v>
      </c>
      <c r="D1244" s="3">
        <v>3</v>
      </c>
      <c r="E1244" s="4">
        <v>3500</v>
      </c>
      <c r="F1244" s="5" t="s">
        <v>13</v>
      </c>
      <c r="G1244" s="5" t="s">
        <v>328</v>
      </c>
      <c r="H1244" s="1">
        <f t="shared" si="39"/>
        <v>10500</v>
      </c>
    </row>
    <row r="1245" spans="1:8" x14ac:dyDescent="0.3">
      <c r="A1245" s="2" t="str">
        <f t="shared" si="38"/>
        <v>Aug-2024</v>
      </c>
      <c r="B1245" s="2">
        <v>45532.330220150463</v>
      </c>
      <c r="C1245" s="5" t="s">
        <v>12</v>
      </c>
      <c r="D1245" s="3">
        <v>2</v>
      </c>
      <c r="E1245" s="4">
        <v>3500</v>
      </c>
      <c r="F1245" s="5" t="s">
        <v>7</v>
      </c>
      <c r="G1245" s="5" t="s">
        <v>76</v>
      </c>
      <c r="H1245" s="1">
        <f t="shared" si="39"/>
        <v>7000</v>
      </c>
    </row>
    <row r="1246" spans="1:8" x14ac:dyDescent="0.3">
      <c r="A1246" s="2" t="str">
        <f t="shared" si="38"/>
        <v>Aug-2024</v>
      </c>
      <c r="B1246" s="2">
        <v>45532.817211469905</v>
      </c>
      <c r="C1246" s="5" t="s">
        <v>26</v>
      </c>
      <c r="D1246" s="3">
        <v>5</v>
      </c>
      <c r="E1246" s="4">
        <v>450</v>
      </c>
      <c r="F1246" s="5" t="s">
        <v>10</v>
      </c>
      <c r="G1246" s="5" t="s">
        <v>237</v>
      </c>
      <c r="H1246" s="1">
        <f t="shared" si="39"/>
        <v>2250</v>
      </c>
    </row>
    <row r="1247" spans="1:8" x14ac:dyDescent="0.3">
      <c r="A1247" s="2" t="str">
        <f t="shared" si="38"/>
        <v>Aug-2024</v>
      </c>
      <c r="B1247" s="2">
        <v>45533.304202800929</v>
      </c>
      <c r="C1247" s="5" t="s">
        <v>17</v>
      </c>
      <c r="D1247" s="3">
        <v>5</v>
      </c>
      <c r="E1247" s="4">
        <v>450</v>
      </c>
      <c r="F1247" s="5" t="s">
        <v>13</v>
      </c>
      <c r="G1247" s="5" t="s">
        <v>443</v>
      </c>
      <c r="H1247" s="1">
        <f t="shared" si="39"/>
        <v>2250</v>
      </c>
    </row>
    <row r="1248" spans="1:8" x14ac:dyDescent="0.3">
      <c r="A1248" s="2" t="str">
        <f t="shared" si="38"/>
        <v>Aug-2024</v>
      </c>
      <c r="B1248" s="2">
        <v>45533.791194131947</v>
      </c>
      <c r="C1248" s="5" t="s">
        <v>17</v>
      </c>
      <c r="D1248" s="3">
        <v>6</v>
      </c>
      <c r="E1248" s="4">
        <v>3500</v>
      </c>
      <c r="F1248" s="5" t="s">
        <v>24</v>
      </c>
      <c r="G1248" s="5" t="s">
        <v>305</v>
      </c>
      <c r="H1248" s="1">
        <f t="shared" si="39"/>
        <v>21000</v>
      </c>
    </row>
    <row r="1249" spans="1:8" x14ac:dyDescent="0.3">
      <c r="A1249" s="2" t="str">
        <f t="shared" si="38"/>
        <v>Aug-2024</v>
      </c>
      <c r="B1249" s="2">
        <v>45534.278185451389</v>
      </c>
      <c r="C1249" s="5" t="s">
        <v>12</v>
      </c>
      <c r="D1249" s="3">
        <v>6</v>
      </c>
      <c r="E1249" s="4">
        <v>1200</v>
      </c>
      <c r="F1249" s="5" t="s">
        <v>13</v>
      </c>
      <c r="G1249" s="5" t="s">
        <v>359</v>
      </c>
      <c r="H1249" s="1">
        <f t="shared" si="39"/>
        <v>7200</v>
      </c>
    </row>
    <row r="1250" spans="1:8" x14ac:dyDescent="0.3">
      <c r="A1250" s="2" t="str">
        <f t="shared" si="38"/>
        <v>Aug-2024</v>
      </c>
      <c r="B1250" s="2">
        <v>45534.765176782406</v>
      </c>
      <c r="C1250" s="5" t="s">
        <v>17</v>
      </c>
      <c r="D1250" s="3">
        <v>2</v>
      </c>
      <c r="E1250" s="4">
        <v>1200</v>
      </c>
      <c r="F1250" s="5" t="s">
        <v>10</v>
      </c>
      <c r="G1250" s="5" t="s">
        <v>157</v>
      </c>
      <c r="H1250" s="1">
        <f t="shared" si="39"/>
        <v>2400</v>
      </c>
    </row>
    <row r="1251" spans="1:8" x14ac:dyDescent="0.3">
      <c r="A1251" s="2" t="str">
        <f t="shared" si="38"/>
        <v>Aug-2024</v>
      </c>
      <c r="B1251" s="2">
        <v>45535.252168113424</v>
      </c>
      <c r="C1251" s="5" t="s">
        <v>12</v>
      </c>
      <c r="D1251" s="3">
        <v>6</v>
      </c>
      <c r="E1251" s="4">
        <v>700</v>
      </c>
      <c r="F1251" s="5" t="s">
        <v>10</v>
      </c>
      <c r="G1251" s="5" t="s">
        <v>482</v>
      </c>
      <c r="H1251" s="1">
        <f t="shared" si="39"/>
        <v>4200</v>
      </c>
    </row>
    <row r="1252" spans="1:8" x14ac:dyDescent="0.3">
      <c r="A1252" s="2" t="str">
        <f t="shared" si="38"/>
        <v>Aug-2024</v>
      </c>
      <c r="B1252" s="2">
        <v>45535.739159444442</v>
      </c>
      <c r="C1252" s="5" t="s">
        <v>36</v>
      </c>
      <c r="D1252" s="3">
        <v>4</v>
      </c>
      <c r="E1252" s="4">
        <v>1800</v>
      </c>
      <c r="F1252" s="5" t="s">
        <v>10</v>
      </c>
      <c r="G1252" s="5" t="s">
        <v>483</v>
      </c>
      <c r="H1252" s="1">
        <f t="shared" si="39"/>
        <v>7200</v>
      </c>
    </row>
    <row r="1253" spans="1:8" x14ac:dyDescent="0.3">
      <c r="A1253" s="2" t="str">
        <f t="shared" si="38"/>
        <v>Sep-2024</v>
      </c>
      <c r="B1253" s="2">
        <v>45536.22615076389</v>
      </c>
      <c r="C1253" s="5" t="s">
        <v>12</v>
      </c>
      <c r="D1253" s="3">
        <v>1</v>
      </c>
      <c r="E1253" s="4">
        <v>700</v>
      </c>
      <c r="F1253" s="5" t="s">
        <v>10</v>
      </c>
      <c r="G1253" s="5" t="s">
        <v>94</v>
      </c>
      <c r="H1253" s="1">
        <f t="shared" si="39"/>
        <v>700</v>
      </c>
    </row>
    <row r="1254" spans="1:8" x14ac:dyDescent="0.3">
      <c r="A1254" s="2" t="str">
        <f t="shared" si="38"/>
        <v>Sep-2024</v>
      </c>
      <c r="B1254" s="2">
        <v>45536.713142094908</v>
      </c>
      <c r="C1254" s="5" t="s">
        <v>12</v>
      </c>
      <c r="D1254" s="3">
        <v>1</v>
      </c>
      <c r="E1254" s="4">
        <v>1800</v>
      </c>
      <c r="F1254" s="5" t="s">
        <v>10</v>
      </c>
      <c r="G1254" s="5" t="s">
        <v>484</v>
      </c>
      <c r="H1254" s="1">
        <f t="shared" si="39"/>
        <v>1800</v>
      </c>
    </row>
    <row r="1255" spans="1:8" x14ac:dyDescent="0.3">
      <c r="A1255" s="2" t="str">
        <f t="shared" si="38"/>
        <v>Sep-2024</v>
      </c>
      <c r="B1255" s="2">
        <v>45537.200133425926</v>
      </c>
      <c r="C1255" s="5" t="s">
        <v>6</v>
      </c>
      <c r="D1255" s="3">
        <v>1</v>
      </c>
      <c r="E1255" s="4">
        <v>450</v>
      </c>
      <c r="F1255" s="5" t="s">
        <v>24</v>
      </c>
      <c r="G1255" s="5" t="s">
        <v>64</v>
      </c>
      <c r="H1255" s="1">
        <f t="shared" si="39"/>
        <v>450</v>
      </c>
    </row>
    <row r="1256" spans="1:8" x14ac:dyDescent="0.3">
      <c r="A1256" s="2" t="str">
        <f t="shared" si="38"/>
        <v>Sep-2024</v>
      </c>
      <c r="B1256" s="2">
        <v>45537.687124745367</v>
      </c>
      <c r="C1256" s="5" t="s">
        <v>12</v>
      </c>
      <c r="D1256" s="3">
        <v>2</v>
      </c>
      <c r="E1256" s="4">
        <v>150</v>
      </c>
      <c r="F1256" s="5" t="s">
        <v>7</v>
      </c>
      <c r="G1256" s="5" t="s">
        <v>190</v>
      </c>
      <c r="H1256" s="1">
        <f t="shared" si="39"/>
        <v>300</v>
      </c>
    </row>
    <row r="1257" spans="1:8" x14ac:dyDescent="0.3">
      <c r="A1257" s="2" t="str">
        <f t="shared" si="38"/>
        <v>Sep-2024</v>
      </c>
      <c r="B1257" s="2">
        <v>45538.174116076392</v>
      </c>
      <c r="C1257" s="5" t="s">
        <v>12</v>
      </c>
      <c r="D1257" s="3">
        <v>2</v>
      </c>
      <c r="E1257" s="4">
        <v>700</v>
      </c>
      <c r="F1257" s="5" t="s">
        <v>10</v>
      </c>
      <c r="G1257" s="5" t="s">
        <v>288</v>
      </c>
      <c r="H1257" s="1">
        <f t="shared" si="39"/>
        <v>1400</v>
      </c>
    </row>
    <row r="1258" spans="1:8" x14ac:dyDescent="0.3">
      <c r="A1258" s="2" t="str">
        <f t="shared" si="38"/>
        <v>Sep-2024</v>
      </c>
      <c r="B1258" s="2">
        <v>45538.66110740741</v>
      </c>
      <c r="C1258" s="5" t="s">
        <v>26</v>
      </c>
      <c r="D1258" s="3">
        <v>3</v>
      </c>
      <c r="E1258" s="4">
        <v>700</v>
      </c>
      <c r="F1258" s="5" t="s">
        <v>10</v>
      </c>
      <c r="G1258" s="5" t="s">
        <v>225</v>
      </c>
      <c r="H1258" s="1">
        <f t="shared" si="39"/>
        <v>2100</v>
      </c>
    </row>
    <row r="1259" spans="1:8" x14ac:dyDescent="0.3">
      <c r="A1259" s="2" t="str">
        <f t="shared" si="38"/>
        <v>Sep-2024</v>
      </c>
      <c r="B1259" s="2">
        <v>45539.148098726851</v>
      </c>
      <c r="C1259" s="5" t="s">
        <v>36</v>
      </c>
      <c r="D1259" s="3">
        <v>1</v>
      </c>
      <c r="E1259" s="4">
        <v>1800</v>
      </c>
      <c r="F1259" s="5" t="s">
        <v>13</v>
      </c>
      <c r="G1259" s="5" t="s">
        <v>267</v>
      </c>
      <c r="H1259" s="1">
        <f t="shared" si="39"/>
        <v>1800</v>
      </c>
    </row>
    <row r="1260" spans="1:8" x14ac:dyDescent="0.3">
      <c r="A1260" s="2" t="str">
        <f t="shared" si="38"/>
        <v>Sep-2024</v>
      </c>
      <c r="B1260" s="2">
        <v>45539.635090057869</v>
      </c>
      <c r="C1260" s="5" t="s">
        <v>6</v>
      </c>
      <c r="D1260" s="3">
        <v>4</v>
      </c>
      <c r="E1260" s="4">
        <v>450</v>
      </c>
      <c r="F1260" s="5" t="s">
        <v>24</v>
      </c>
      <c r="G1260" s="5" t="s">
        <v>303</v>
      </c>
      <c r="H1260" s="1">
        <f t="shared" si="39"/>
        <v>1800</v>
      </c>
    </row>
    <row r="1261" spans="1:8" x14ac:dyDescent="0.3">
      <c r="A1261" s="2" t="str">
        <f t="shared" si="38"/>
        <v>Sep-2024</v>
      </c>
      <c r="B1261" s="2">
        <v>45540.122081388887</v>
      </c>
      <c r="C1261" s="5" t="s">
        <v>26</v>
      </c>
      <c r="D1261" s="3">
        <v>6</v>
      </c>
      <c r="E1261" s="4">
        <v>450</v>
      </c>
      <c r="F1261" s="5" t="s">
        <v>24</v>
      </c>
      <c r="G1261" s="5" t="s">
        <v>139</v>
      </c>
      <c r="H1261" s="1">
        <f t="shared" si="39"/>
        <v>2700</v>
      </c>
    </row>
    <row r="1262" spans="1:8" x14ac:dyDescent="0.3">
      <c r="A1262" s="2" t="str">
        <f t="shared" si="38"/>
        <v>Sep-2024</v>
      </c>
      <c r="B1262" s="2">
        <v>45540.609072719904</v>
      </c>
      <c r="C1262" s="5" t="s">
        <v>9</v>
      </c>
      <c r="D1262" s="3">
        <v>4</v>
      </c>
      <c r="E1262" s="4">
        <v>1800</v>
      </c>
      <c r="F1262" s="5" t="s">
        <v>7</v>
      </c>
      <c r="G1262" s="5" t="s">
        <v>401</v>
      </c>
      <c r="H1262" s="1">
        <f t="shared" si="39"/>
        <v>7200</v>
      </c>
    </row>
    <row r="1263" spans="1:8" x14ac:dyDescent="0.3">
      <c r="A1263" s="2" t="str">
        <f t="shared" si="38"/>
        <v>Sep-2024</v>
      </c>
      <c r="B1263" s="2">
        <v>45541.096064039353</v>
      </c>
      <c r="C1263" s="5" t="s">
        <v>36</v>
      </c>
      <c r="D1263" s="3">
        <v>6</v>
      </c>
      <c r="E1263" s="4">
        <v>450</v>
      </c>
      <c r="F1263" s="5" t="s">
        <v>24</v>
      </c>
      <c r="G1263" s="5" t="s">
        <v>485</v>
      </c>
      <c r="H1263" s="1">
        <f t="shared" si="39"/>
        <v>2700</v>
      </c>
    </row>
    <row r="1264" spans="1:8" x14ac:dyDescent="0.3">
      <c r="A1264" s="2" t="str">
        <f t="shared" si="38"/>
        <v>Sep-2024</v>
      </c>
      <c r="B1264" s="2">
        <v>45541.583055370371</v>
      </c>
      <c r="C1264" s="5" t="s">
        <v>36</v>
      </c>
      <c r="D1264" s="3">
        <v>1</v>
      </c>
      <c r="E1264" s="4">
        <v>3500</v>
      </c>
      <c r="F1264" s="5" t="s">
        <v>13</v>
      </c>
      <c r="G1264" s="5" t="s">
        <v>394</v>
      </c>
      <c r="H1264" s="1">
        <f t="shared" si="39"/>
        <v>3500</v>
      </c>
    </row>
    <row r="1265" spans="1:8" x14ac:dyDescent="0.3">
      <c r="A1265" s="2" t="str">
        <f t="shared" si="38"/>
        <v>Sep-2024</v>
      </c>
      <c r="B1265" s="2">
        <v>45542.070046701388</v>
      </c>
      <c r="C1265" s="5" t="s">
        <v>9</v>
      </c>
      <c r="D1265" s="3">
        <v>1</v>
      </c>
      <c r="E1265" s="4">
        <v>1200</v>
      </c>
      <c r="F1265" s="5" t="s">
        <v>13</v>
      </c>
      <c r="G1265" s="5" t="s">
        <v>136</v>
      </c>
      <c r="H1265" s="1">
        <f t="shared" si="39"/>
        <v>1200</v>
      </c>
    </row>
    <row r="1266" spans="1:8" x14ac:dyDescent="0.3">
      <c r="A1266" s="2" t="str">
        <f t="shared" si="38"/>
        <v>Sep-2024</v>
      </c>
      <c r="B1266" s="2">
        <v>45542.55703802083</v>
      </c>
      <c r="C1266" s="5" t="s">
        <v>12</v>
      </c>
      <c r="D1266" s="3">
        <v>1</v>
      </c>
      <c r="E1266" s="4">
        <v>3500</v>
      </c>
      <c r="F1266" s="5" t="s">
        <v>7</v>
      </c>
      <c r="G1266" s="5" t="s">
        <v>464</v>
      </c>
      <c r="H1266" s="1">
        <f t="shared" si="39"/>
        <v>3500</v>
      </c>
    </row>
    <row r="1267" spans="1:8" x14ac:dyDescent="0.3">
      <c r="A1267" s="2" t="str">
        <f t="shared" si="38"/>
        <v>Sep-2024</v>
      </c>
      <c r="B1267" s="2">
        <v>45543.044029351855</v>
      </c>
      <c r="C1267" s="5" t="s">
        <v>26</v>
      </c>
      <c r="D1267" s="3">
        <v>2</v>
      </c>
      <c r="E1267" s="4">
        <v>150</v>
      </c>
      <c r="F1267" s="5" t="s">
        <v>13</v>
      </c>
      <c r="G1267" s="5" t="s">
        <v>290</v>
      </c>
      <c r="H1267" s="1">
        <f t="shared" si="39"/>
        <v>300</v>
      </c>
    </row>
    <row r="1268" spans="1:8" x14ac:dyDescent="0.3">
      <c r="A1268" s="2" t="str">
        <f t="shared" si="38"/>
        <v>Sep-2024</v>
      </c>
      <c r="B1268" s="2">
        <v>45543.531020682873</v>
      </c>
      <c r="C1268" s="5" t="s">
        <v>17</v>
      </c>
      <c r="D1268" s="3">
        <v>6</v>
      </c>
      <c r="E1268" s="4">
        <v>700</v>
      </c>
      <c r="F1268" s="5" t="s">
        <v>10</v>
      </c>
      <c r="G1268" s="5" t="s">
        <v>486</v>
      </c>
      <c r="H1268" s="1">
        <f t="shared" si="39"/>
        <v>4200</v>
      </c>
    </row>
    <row r="1269" spans="1:8" x14ac:dyDescent="0.3">
      <c r="A1269" s="2" t="str">
        <f t="shared" si="38"/>
        <v>Sep-2024</v>
      </c>
      <c r="B1269" s="2">
        <v>45544.018012002314</v>
      </c>
      <c r="C1269" s="5" t="s">
        <v>6</v>
      </c>
      <c r="D1269" s="3">
        <v>2</v>
      </c>
      <c r="E1269" s="4">
        <v>150</v>
      </c>
      <c r="F1269" s="5" t="s">
        <v>10</v>
      </c>
      <c r="G1269" s="5" t="s">
        <v>91</v>
      </c>
      <c r="H1269" s="1">
        <f t="shared" si="39"/>
        <v>300</v>
      </c>
    </row>
    <row r="1270" spans="1:8" x14ac:dyDescent="0.3">
      <c r="A1270" s="2" t="str">
        <f t="shared" si="38"/>
        <v>Sep-2024</v>
      </c>
      <c r="B1270" s="2">
        <v>45544.505003333332</v>
      </c>
      <c r="C1270" s="5" t="s">
        <v>17</v>
      </c>
      <c r="D1270" s="3">
        <v>2</v>
      </c>
      <c r="E1270" s="4">
        <v>700</v>
      </c>
      <c r="F1270" s="5" t="s">
        <v>13</v>
      </c>
      <c r="G1270" s="5" t="s">
        <v>68</v>
      </c>
      <c r="H1270" s="1">
        <f t="shared" si="39"/>
        <v>1400</v>
      </c>
    </row>
    <row r="1271" spans="1:8" x14ac:dyDescent="0.3">
      <c r="A1271" s="2" t="str">
        <f t="shared" si="38"/>
        <v>Sep-2024</v>
      </c>
      <c r="B1271" s="2">
        <v>45544.991994664349</v>
      </c>
      <c r="C1271" s="5" t="s">
        <v>9</v>
      </c>
      <c r="D1271" s="3">
        <v>5</v>
      </c>
      <c r="E1271" s="4">
        <v>1200</v>
      </c>
      <c r="F1271" s="5" t="s">
        <v>7</v>
      </c>
      <c r="G1271" s="5" t="s">
        <v>472</v>
      </c>
      <c r="H1271" s="1">
        <f t="shared" si="39"/>
        <v>6000</v>
      </c>
    </row>
    <row r="1272" spans="1:8" x14ac:dyDescent="0.3">
      <c r="A1272" s="2" t="str">
        <f t="shared" si="38"/>
        <v>Sep-2024</v>
      </c>
      <c r="B1272" s="2">
        <v>45545.478985995367</v>
      </c>
      <c r="C1272" s="5" t="s">
        <v>36</v>
      </c>
      <c r="D1272" s="3">
        <v>4</v>
      </c>
      <c r="E1272" s="4">
        <v>450</v>
      </c>
      <c r="F1272" s="5" t="s">
        <v>24</v>
      </c>
      <c r="G1272" s="5" t="s">
        <v>434</v>
      </c>
      <c r="H1272" s="1">
        <f t="shared" si="39"/>
        <v>1800</v>
      </c>
    </row>
    <row r="1273" spans="1:8" x14ac:dyDescent="0.3">
      <c r="A1273" s="2" t="str">
        <f t="shared" si="38"/>
        <v>Sep-2024</v>
      </c>
      <c r="B1273" s="2">
        <v>45545.965977314816</v>
      </c>
      <c r="C1273" s="5" t="s">
        <v>36</v>
      </c>
      <c r="D1273" s="3">
        <v>4</v>
      </c>
      <c r="E1273" s="4">
        <v>3500</v>
      </c>
      <c r="F1273" s="5" t="s">
        <v>7</v>
      </c>
      <c r="G1273" s="5" t="s">
        <v>420</v>
      </c>
      <c r="H1273" s="1">
        <f t="shared" si="39"/>
        <v>14000</v>
      </c>
    </row>
    <row r="1274" spans="1:8" x14ac:dyDescent="0.3">
      <c r="A1274" s="2" t="str">
        <f t="shared" si="38"/>
        <v>Sep-2024</v>
      </c>
      <c r="B1274" s="2">
        <v>45546.452968645834</v>
      </c>
      <c r="C1274" s="5" t="s">
        <v>6</v>
      </c>
      <c r="D1274" s="3">
        <v>3</v>
      </c>
      <c r="E1274" s="4">
        <v>1800</v>
      </c>
      <c r="F1274" s="5" t="s">
        <v>24</v>
      </c>
      <c r="G1274" s="5" t="s">
        <v>40</v>
      </c>
      <c r="H1274" s="1">
        <f t="shared" si="39"/>
        <v>5400</v>
      </c>
    </row>
    <row r="1275" spans="1:8" x14ac:dyDescent="0.3">
      <c r="A1275" s="2" t="str">
        <f t="shared" si="38"/>
        <v>Sep-2024</v>
      </c>
      <c r="B1275" s="2">
        <v>45546.939959976851</v>
      </c>
      <c r="C1275" s="5" t="s">
        <v>36</v>
      </c>
      <c r="D1275" s="3">
        <v>2</v>
      </c>
      <c r="E1275" s="4">
        <v>3500</v>
      </c>
      <c r="F1275" s="5" t="s">
        <v>13</v>
      </c>
      <c r="G1275" s="5" t="s">
        <v>90</v>
      </c>
      <c r="H1275" s="1">
        <f t="shared" si="39"/>
        <v>7000</v>
      </c>
    </row>
    <row r="1276" spans="1:8" x14ac:dyDescent="0.3">
      <c r="A1276" s="2" t="str">
        <f t="shared" si="38"/>
        <v>Sep-2024</v>
      </c>
      <c r="B1276" s="2">
        <v>45547.426951296293</v>
      </c>
      <c r="C1276" s="5" t="s">
        <v>36</v>
      </c>
      <c r="D1276" s="3">
        <v>6</v>
      </c>
      <c r="E1276" s="4">
        <v>1200</v>
      </c>
      <c r="F1276" s="5" t="s">
        <v>13</v>
      </c>
      <c r="G1276" s="5" t="s">
        <v>384</v>
      </c>
      <c r="H1276" s="1">
        <f t="shared" si="39"/>
        <v>7200</v>
      </c>
    </row>
    <row r="1277" spans="1:8" x14ac:dyDescent="0.3">
      <c r="A1277" s="2" t="str">
        <f t="shared" si="38"/>
        <v>Sep-2024</v>
      </c>
      <c r="B1277" s="2">
        <v>45547.913942627318</v>
      </c>
      <c r="C1277" s="5" t="s">
        <v>6</v>
      </c>
      <c r="D1277" s="3">
        <v>5</v>
      </c>
      <c r="E1277" s="4">
        <v>150</v>
      </c>
      <c r="F1277" s="5" t="s">
        <v>10</v>
      </c>
      <c r="G1277" s="5" t="s">
        <v>315</v>
      </c>
      <c r="H1277" s="1">
        <f t="shared" si="39"/>
        <v>750</v>
      </c>
    </row>
    <row r="1278" spans="1:8" x14ac:dyDescent="0.3">
      <c r="A1278" s="2" t="str">
        <f t="shared" si="38"/>
        <v>Sep-2024</v>
      </c>
      <c r="B1278" s="2">
        <v>45548.400933958335</v>
      </c>
      <c r="C1278" s="5" t="s">
        <v>26</v>
      </c>
      <c r="D1278" s="3">
        <v>5</v>
      </c>
      <c r="E1278" s="4">
        <v>1800</v>
      </c>
      <c r="F1278" s="5" t="s">
        <v>24</v>
      </c>
      <c r="G1278" s="5" t="s">
        <v>393</v>
      </c>
      <c r="H1278" s="1">
        <f t="shared" si="39"/>
        <v>9000</v>
      </c>
    </row>
    <row r="1279" spans="1:8" x14ac:dyDescent="0.3">
      <c r="A1279" s="2" t="str">
        <f t="shared" si="38"/>
        <v>Sep-2024</v>
      </c>
      <c r="B1279" s="2">
        <v>45548.887925277777</v>
      </c>
      <c r="C1279" s="5" t="s">
        <v>26</v>
      </c>
      <c r="D1279" s="3">
        <v>4</v>
      </c>
      <c r="E1279" s="4">
        <v>450</v>
      </c>
      <c r="F1279" s="5" t="s">
        <v>7</v>
      </c>
      <c r="G1279" s="5" t="s">
        <v>438</v>
      </c>
      <c r="H1279" s="1">
        <f t="shared" si="39"/>
        <v>1800</v>
      </c>
    </row>
    <row r="1280" spans="1:8" x14ac:dyDescent="0.3">
      <c r="A1280" s="2" t="str">
        <f t="shared" si="38"/>
        <v>Sep-2024</v>
      </c>
      <c r="B1280" s="2">
        <v>45549.374916608795</v>
      </c>
      <c r="C1280" s="5" t="s">
        <v>6</v>
      </c>
      <c r="D1280" s="3">
        <v>2</v>
      </c>
      <c r="E1280" s="4">
        <v>1200</v>
      </c>
      <c r="F1280" s="5" t="s">
        <v>13</v>
      </c>
      <c r="G1280" s="5" t="s">
        <v>106</v>
      </c>
      <c r="H1280" s="1">
        <f t="shared" si="39"/>
        <v>2400</v>
      </c>
    </row>
    <row r="1281" spans="1:8" x14ac:dyDescent="0.3">
      <c r="A1281" s="2" t="str">
        <f t="shared" si="38"/>
        <v>Sep-2024</v>
      </c>
      <c r="B1281" s="2">
        <v>45549.861907939812</v>
      </c>
      <c r="C1281" s="5" t="s">
        <v>9</v>
      </c>
      <c r="D1281" s="3">
        <v>3</v>
      </c>
      <c r="E1281" s="4">
        <v>1800</v>
      </c>
      <c r="F1281" s="5" t="s">
        <v>7</v>
      </c>
      <c r="G1281" s="5" t="s">
        <v>461</v>
      </c>
      <c r="H1281" s="1">
        <f t="shared" si="39"/>
        <v>5400</v>
      </c>
    </row>
    <row r="1282" spans="1:8" x14ac:dyDescent="0.3">
      <c r="A1282" s="2" t="str">
        <f t="shared" si="38"/>
        <v>Sep-2024</v>
      </c>
      <c r="B1282" s="2">
        <v>45550.34889927083</v>
      </c>
      <c r="C1282" s="5" t="s">
        <v>36</v>
      </c>
      <c r="D1282" s="3">
        <v>2</v>
      </c>
      <c r="E1282" s="4">
        <v>1200</v>
      </c>
      <c r="F1282" s="5" t="s">
        <v>10</v>
      </c>
      <c r="G1282" s="5" t="s">
        <v>201</v>
      </c>
      <c r="H1282" s="1">
        <f t="shared" si="39"/>
        <v>2400</v>
      </c>
    </row>
    <row r="1283" spans="1:8" x14ac:dyDescent="0.3">
      <c r="A1283" s="2" t="str">
        <f t="shared" ref="A1283:A1346" si="40">TEXT(B1283, "mmm-yyyy")</f>
        <v>Sep-2024</v>
      </c>
      <c r="B1283" s="2">
        <v>45550.835890590279</v>
      </c>
      <c r="C1283" s="5" t="s">
        <v>36</v>
      </c>
      <c r="D1283" s="3">
        <v>1</v>
      </c>
      <c r="E1283" s="4">
        <v>1200</v>
      </c>
      <c r="F1283" s="5" t="s">
        <v>24</v>
      </c>
      <c r="G1283" s="5" t="s">
        <v>392</v>
      </c>
      <c r="H1283" s="1">
        <f t="shared" ref="H1283:H1346" si="41" xml:space="preserve"> D1283 * E1283</f>
        <v>1200</v>
      </c>
    </row>
    <row r="1284" spans="1:8" x14ac:dyDescent="0.3">
      <c r="A1284" s="2" t="str">
        <f t="shared" si="40"/>
        <v>Sep-2024</v>
      </c>
      <c r="B1284" s="2">
        <v>45551.322881921296</v>
      </c>
      <c r="C1284" s="5" t="s">
        <v>9</v>
      </c>
      <c r="D1284" s="3">
        <v>2</v>
      </c>
      <c r="E1284" s="4">
        <v>450</v>
      </c>
      <c r="F1284" s="5" t="s">
        <v>24</v>
      </c>
      <c r="G1284" s="5" t="s">
        <v>169</v>
      </c>
      <c r="H1284" s="1">
        <f t="shared" si="41"/>
        <v>900</v>
      </c>
    </row>
    <row r="1285" spans="1:8" x14ac:dyDescent="0.3">
      <c r="A1285" s="2" t="str">
        <f t="shared" si="40"/>
        <v>Sep-2024</v>
      </c>
      <c r="B1285" s="2">
        <v>45551.809873252314</v>
      </c>
      <c r="C1285" s="5" t="s">
        <v>26</v>
      </c>
      <c r="D1285" s="3">
        <v>1</v>
      </c>
      <c r="E1285" s="4">
        <v>700</v>
      </c>
      <c r="F1285" s="5" t="s">
        <v>13</v>
      </c>
      <c r="G1285" s="5" t="s">
        <v>101</v>
      </c>
      <c r="H1285" s="1">
        <f t="shared" si="41"/>
        <v>700</v>
      </c>
    </row>
    <row r="1286" spans="1:8" x14ac:dyDescent="0.3">
      <c r="A1286" s="2" t="str">
        <f t="shared" si="40"/>
        <v>Sep-2024</v>
      </c>
      <c r="B1286" s="2">
        <v>45552.296864571763</v>
      </c>
      <c r="C1286" s="5" t="s">
        <v>12</v>
      </c>
      <c r="D1286" s="3">
        <v>1</v>
      </c>
      <c r="E1286" s="4">
        <v>1800</v>
      </c>
      <c r="F1286" s="5" t="s">
        <v>24</v>
      </c>
      <c r="G1286" s="5" t="s">
        <v>376</v>
      </c>
      <c r="H1286" s="1">
        <f t="shared" si="41"/>
        <v>1800</v>
      </c>
    </row>
    <row r="1287" spans="1:8" x14ac:dyDescent="0.3">
      <c r="A1287" s="2" t="str">
        <f t="shared" si="40"/>
        <v>Sep-2024</v>
      </c>
      <c r="B1287" s="2">
        <v>45552.78385590278</v>
      </c>
      <c r="C1287" s="5" t="s">
        <v>12</v>
      </c>
      <c r="D1287" s="3">
        <v>3</v>
      </c>
      <c r="E1287" s="4">
        <v>450</v>
      </c>
      <c r="F1287" s="5" t="s">
        <v>13</v>
      </c>
      <c r="G1287" s="5" t="s">
        <v>138</v>
      </c>
      <c r="H1287" s="1">
        <f t="shared" si="41"/>
        <v>1350</v>
      </c>
    </row>
    <row r="1288" spans="1:8" x14ac:dyDescent="0.3">
      <c r="A1288" s="2" t="str">
        <f t="shared" si="40"/>
        <v>Sep-2024</v>
      </c>
      <c r="B1288" s="2">
        <v>45553.270847233798</v>
      </c>
      <c r="C1288" s="5" t="s">
        <v>12</v>
      </c>
      <c r="D1288" s="3">
        <v>6</v>
      </c>
      <c r="E1288" s="4">
        <v>1200</v>
      </c>
      <c r="F1288" s="5" t="s">
        <v>10</v>
      </c>
      <c r="G1288" s="5" t="s">
        <v>380</v>
      </c>
      <c r="H1288" s="1">
        <f t="shared" si="41"/>
        <v>7200</v>
      </c>
    </row>
    <row r="1289" spans="1:8" x14ac:dyDescent="0.3">
      <c r="A1289" s="2" t="str">
        <f t="shared" si="40"/>
        <v>Sep-2024</v>
      </c>
      <c r="B1289" s="2">
        <v>45553.757838564816</v>
      </c>
      <c r="C1289" s="5" t="s">
        <v>26</v>
      </c>
      <c r="D1289" s="3">
        <v>4</v>
      </c>
      <c r="E1289" s="4">
        <v>450</v>
      </c>
      <c r="F1289" s="5" t="s">
        <v>24</v>
      </c>
      <c r="G1289" s="5" t="s">
        <v>49</v>
      </c>
      <c r="H1289" s="1">
        <f t="shared" si="41"/>
        <v>1800</v>
      </c>
    </row>
    <row r="1290" spans="1:8" x14ac:dyDescent="0.3">
      <c r="A1290" s="2" t="str">
        <f t="shared" si="40"/>
        <v>Sep-2024</v>
      </c>
      <c r="B1290" s="2">
        <v>45554.244829884257</v>
      </c>
      <c r="C1290" s="5" t="s">
        <v>26</v>
      </c>
      <c r="D1290" s="3">
        <v>2</v>
      </c>
      <c r="E1290" s="4">
        <v>700</v>
      </c>
      <c r="F1290" s="5" t="s">
        <v>13</v>
      </c>
      <c r="G1290" s="5" t="s">
        <v>487</v>
      </c>
      <c r="H1290" s="1">
        <f t="shared" si="41"/>
        <v>1400</v>
      </c>
    </row>
    <row r="1291" spans="1:8" x14ac:dyDescent="0.3">
      <c r="A1291" s="2" t="str">
        <f t="shared" si="40"/>
        <v>Sep-2024</v>
      </c>
      <c r="B1291" s="2">
        <v>45554.731821215275</v>
      </c>
      <c r="C1291" s="5" t="s">
        <v>9</v>
      </c>
      <c r="D1291" s="3">
        <v>1</v>
      </c>
      <c r="E1291" s="4">
        <v>3500</v>
      </c>
      <c r="F1291" s="5" t="s">
        <v>7</v>
      </c>
      <c r="G1291" s="5" t="s">
        <v>181</v>
      </c>
      <c r="H1291" s="1">
        <f t="shared" si="41"/>
        <v>3500</v>
      </c>
    </row>
    <row r="1292" spans="1:8" x14ac:dyDescent="0.3">
      <c r="A1292" s="2" t="str">
        <f t="shared" si="40"/>
        <v>Sep-2024</v>
      </c>
      <c r="B1292" s="2">
        <v>45555.2188125463</v>
      </c>
      <c r="C1292" s="5" t="s">
        <v>36</v>
      </c>
      <c r="D1292" s="3">
        <v>2</v>
      </c>
      <c r="E1292" s="4">
        <v>1800</v>
      </c>
      <c r="F1292" s="5" t="s">
        <v>13</v>
      </c>
      <c r="G1292" s="5" t="s">
        <v>226</v>
      </c>
      <c r="H1292" s="1">
        <f t="shared" si="41"/>
        <v>3600</v>
      </c>
    </row>
    <row r="1293" spans="1:8" x14ac:dyDescent="0.3">
      <c r="A1293" s="2" t="str">
        <f t="shared" si="40"/>
        <v>Sep-2024</v>
      </c>
      <c r="B1293" s="2">
        <v>45555.705803865741</v>
      </c>
      <c r="C1293" s="5" t="s">
        <v>9</v>
      </c>
      <c r="D1293" s="3">
        <v>6</v>
      </c>
      <c r="E1293" s="4">
        <v>700</v>
      </c>
      <c r="F1293" s="5" t="s">
        <v>24</v>
      </c>
      <c r="G1293" s="5" t="s">
        <v>78</v>
      </c>
      <c r="H1293" s="1">
        <f t="shared" si="41"/>
        <v>4200</v>
      </c>
    </row>
    <row r="1294" spans="1:8" x14ac:dyDescent="0.3">
      <c r="A1294" s="2" t="str">
        <f t="shared" si="40"/>
        <v>Sep-2024</v>
      </c>
      <c r="B1294" s="2">
        <v>45556.192795196759</v>
      </c>
      <c r="C1294" s="5" t="s">
        <v>9</v>
      </c>
      <c r="D1294" s="3">
        <v>4</v>
      </c>
      <c r="E1294" s="4">
        <v>150</v>
      </c>
      <c r="F1294" s="5" t="s">
        <v>10</v>
      </c>
      <c r="G1294" s="5" t="s">
        <v>73</v>
      </c>
      <c r="H1294" s="1">
        <f t="shared" si="41"/>
        <v>600</v>
      </c>
    </row>
    <row r="1295" spans="1:8" x14ac:dyDescent="0.3">
      <c r="A1295" s="2" t="str">
        <f t="shared" si="40"/>
        <v>Sep-2024</v>
      </c>
      <c r="B1295" s="2">
        <v>45556.679786527777</v>
      </c>
      <c r="C1295" s="5" t="s">
        <v>26</v>
      </c>
      <c r="D1295" s="3">
        <v>6</v>
      </c>
      <c r="E1295" s="4">
        <v>1800</v>
      </c>
      <c r="F1295" s="5" t="s">
        <v>24</v>
      </c>
      <c r="G1295" s="5" t="s">
        <v>34</v>
      </c>
      <c r="H1295" s="1">
        <f t="shared" si="41"/>
        <v>10800</v>
      </c>
    </row>
    <row r="1296" spans="1:8" x14ac:dyDescent="0.3">
      <c r="A1296" s="2" t="str">
        <f t="shared" si="40"/>
        <v>Sep-2024</v>
      </c>
      <c r="B1296" s="2">
        <v>45557.166777847226</v>
      </c>
      <c r="C1296" s="5" t="s">
        <v>12</v>
      </c>
      <c r="D1296" s="3">
        <v>4</v>
      </c>
      <c r="E1296" s="4">
        <v>700</v>
      </c>
      <c r="F1296" s="5" t="s">
        <v>24</v>
      </c>
      <c r="G1296" s="5" t="s">
        <v>482</v>
      </c>
      <c r="H1296" s="1">
        <f t="shared" si="41"/>
        <v>2800</v>
      </c>
    </row>
    <row r="1297" spans="1:8" x14ac:dyDescent="0.3">
      <c r="A1297" s="2" t="str">
        <f t="shared" si="40"/>
        <v>Sep-2024</v>
      </c>
      <c r="B1297" s="2">
        <v>45557.653769178243</v>
      </c>
      <c r="C1297" s="5" t="s">
        <v>17</v>
      </c>
      <c r="D1297" s="3">
        <v>5</v>
      </c>
      <c r="E1297" s="4">
        <v>1200</v>
      </c>
      <c r="F1297" s="5" t="s">
        <v>13</v>
      </c>
      <c r="G1297" s="5" t="s">
        <v>318</v>
      </c>
      <c r="H1297" s="1">
        <f t="shared" si="41"/>
        <v>6000</v>
      </c>
    </row>
    <row r="1298" spans="1:8" x14ac:dyDescent="0.3">
      <c r="A1298" s="2" t="str">
        <f t="shared" si="40"/>
        <v>Sep-2024</v>
      </c>
      <c r="B1298" s="2">
        <v>45558.140760509261</v>
      </c>
      <c r="C1298" s="5" t="s">
        <v>36</v>
      </c>
      <c r="D1298" s="3">
        <v>4</v>
      </c>
      <c r="E1298" s="4">
        <v>1800</v>
      </c>
      <c r="F1298" s="5" t="s">
        <v>7</v>
      </c>
      <c r="G1298" s="5" t="s">
        <v>123</v>
      </c>
      <c r="H1298" s="1">
        <f t="shared" si="41"/>
        <v>7200</v>
      </c>
    </row>
    <row r="1299" spans="1:8" x14ac:dyDescent="0.3">
      <c r="A1299" s="2" t="str">
        <f t="shared" si="40"/>
        <v>Sep-2024</v>
      </c>
      <c r="B1299" s="2">
        <v>45558.627751840279</v>
      </c>
      <c r="C1299" s="5" t="s">
        <v>26</v>
      </c>
      <c r="D1299" s="3">
        <v>3</v>
      </c>
      <c r="E1299" s="4">
        <v>1800</v>
      </c>
      <c r="F1299" s="5" t="s">
        <v>24</v>
      </c>
      <c r="G1299" s="5" t="s">
        <v>251</v>
      </c>
      <c r="H1299" s="1">
        <f t="shared" si="41"/>
        <v>5400</v>
      </c>
    </row>
    <row r="1300" spans="1:8" x14ac:dyDescent="0.3">
      <c r="A1300" s="2" t="str">
        <f t="shared" si="40"/>
        <v>Sep-2024</v>
      </c>
      <c r="B1300" s="2">
        <v>45559.11474315972</v>
      </c>
      <c r="C1300" s="5" t="s">
        <v>12</v>
      </c>
      <c r="D1300" s="3">
        <v>6</v>
      </c>
      <c r="E1300" s="4">
        <v>450</v>
      </c>
      <c r="F1300" s="5" t="s">
        <v>7</v>
      </c>
      <c r="G1300" s="5" t="s">
        <v>245</v>
      </c>
      <c r="H1300" s="1">
        <f t="shared" si="41"/>
        <v>2700</v>
      </c>
    </row>
    <row r="1301" spans="1:8" x14ac:dyDescent="0.3">
      <c r="A1301" s="2" t="str">
        <f t="shared" si="40"/>
        <v>Sep-2024</v>
      </c>
      <c r="B1301" s="2">
        <v>45559.601734490738</v>
      </c>
      <c r="C1301" s="5" t="s">
        <v>17</v>
      </c>
      <c r="D1301" s="3">
        <v>1</v>
      </c>
      <c r="E1301" s="4">
        <v>1200</v>
      </c>
      <c r="F1301" s="5" t="s">
        <v>13</v>
      </c>
      <c r="G1301" s="5" t="s">
        <v>371</v>
      </c>
      <c r="H1301" s="1">
        <f t="shared" si="41"/>
        <v>1200</v>
      </c>
    </row>
    <row r="1302" spans="1:8" x14ac:dyDescent="0.3">
      <c r="A1302" s="2" t="str">
        <f t="shared" si="40"/>
        <v>Sep-2024</v>
      </c>
      <c r="B1302" s="2">
        <v>45560.088725821763</v>
      </c>
      <c r="C1302" s="5" t="s">
        <v>17</v>
      </c>
      <c r="D1302" s="3">
        <v>5</v>
      </c>
      <c r="E1302" s="4">
        <v>150</v>
      </c>
      <c r="F1302" s="5" t="s">
        <v>7</v>
      </c>
      <c r="G1302" s="5" t="s">
        <v>386</v>
      </c>
      <c r="H1302" s="1">
        <f t="shared" si="41"/>
        <v>750</v>
      </c>
    </row>
    <row r="1303" spans="1:8" x14ac:dyDescent="0.3">
      <c r="A1303" s="2" t="str">
        <f t="shared" si="40"/>
        <v>Sep-2024</v>
      </c>
      <c r="B1303" s="2">
        <v>45560.575717141204</v>
      </c>
      <c r="C1303" s="5" t="s">
        <v>26</v>
      </c>
      <c r="D1303" s="3">
        <v>3</v>
      </c>
      <c r="E1303" s="4">
        <v>3500</v>
      </c>
      <c r="F1303" s="5" t="s">
        <v>13</v>
      </c>
      <c r="G1303" s="5" t="s">
        <v>331</v>
      </c>
      <c r="H1303" s="1">
        <f t="shared" si="41"/>
        <v>10500</v>
      </c>
    </row>
    <row r="1304" spans="1:8" x14ac:dyDescent="0.3">
      <c r="A1304" s="2" t="str">
        <f t="shared" si="40"/>
        <v>Sep-2024</v>
      </c>
      <c r="B1304" s="2">
        <v>45561.062708472222</v>
      </c>
      <c r="C1304" s="5" t="s">
        <v>6</v>
      </c>
      <c r="D1304" s="3">
        <v>2</v>
      </c>
      <c r="E1304" s="4">
        <v>700</v>
      </c>
      <c r="F1304" s="5" t="s">
        <v>10</v>
      </c>
      <c r="G1304" s="5" t="s">
        <v>63</v>
      </c>
      <c r="H1304" s="1">
        <f t="shared" si="41"/>
        <v>1400</v>
      </c>
    </row>
    <row r="1305" spans="1:8" x14ac:dyDescent="0.3">
      <c r="A1305" s="2" t="str">
        <f t="shared" si="40"/>
        <v>Sep-2024</v>
      </c>
      <c r="B1305" s="2">
        <v>45561.549699803239</v>
      </c>
      <c r="C1305" s="5" t="s">
        <v>36</v>
      </c>
      <c r="D1305" s="3">
        <v>6</v>
      </c>
      <c r="E1305" s="4">
        <v>450</v>
      </c>
      <c r="F1305" s="5" t="s">
        <v>7</v>
      </c>
      <c r="G1305" s="5" t="s">
        <v>188</v>
      </c>
      <c r="H1305" s="1">
        <f t="shared" si="41"/>
        <v>2700</v>
      </c>
    </row>
    <row r="1306" spans="1:8" x14ac:dyDescent="0.3">
      <c r="A1306" s="2" t="str">
        <f t="shared" si="40"/>
        <v>Sep-2024</v>
      </c>
      <c r="B1306" s="2">
        <v>45562.036691122688</v>
      </c>
      <c r="C1306" s="5" t="s">
        <v>17</v>
      </c>
      <c r="D1306" s="3">
        <v>1</v>
      </c>
      <c r="E1306" s="4">
        <v>700</v>
      </c>
      <c r="F1306" s="5" t="s">
        <v>7</v>
      </c>
      <c r="G1306" s="5" t="s">
        <v>369</v>
      </c>
      <c r="H1306" s="1">
        <f t="shared" si="41"/>
        <v>700</v>
      </c>
    </row>
    <row r="1307" spans="1:8" x14ac:dyDescent="0.3">
      <c r="A1307" s="2" t="str">
        <f t="shared" si="40"/>
        <v>Sep-2024</v>
      </c>
      <c r="B1307" s="2">
        <v>45562.523682453706</v>
      </c>
      <c r="C1307" s="5" t="s">
        <v>26</v>
      </c>
      <c r="D1307" s="3">
        <v>4</v>
      </c>
      <c r="E1307" s="4">
        <v>150</v>
      </c>
      <c r="F1307" s="5" t="s">
        <v>10</v>
      </c>
      <c r="G1307" s="5" t="s">
        <v>293</v>
      </c>
      <c r="H1307" s="1">
        <f t="shared" si="41"/>
        <v>600</v>
      </c>
    </row>
    <row r="1308" spans="1:8" x14ac:dyDescent="0.3">
      <c r="A1308" s="2" t="str">
        <f t="shared" si="40"/>
        <v>Sep-2024</v>
      </c>
      <c r="B1308" s="2">
        <v>45563.010673784724</v>
      </c>
      <c r="C1308" s="5" t="s">
        <v>26</v>
      </c>
      <c r="D1308" s="3">
        <v>1</v>
      </c>
      <c r="E1308" s="4">
        <v>150</v>
      </c>
      <c r="F1308" s="5" t="s">
        <v>7</v>
      </c>
      <c r="G1308" s="5" t="s">
        <v>312</v>
      </c>
      <c r="H1308" s="1">
        <f t="shared" si="41"/>
        <v>150</v>
      </c>
    </row>
    <row r="1309" spans="1:8" x14ac:dyDescent="0.3">
      <c r="A1309" s="2" t="str">
        <f t="shared" si="40"/>
        <v>Sep-2024</v>
      </c>
      <c r="B1309" s="2">
        <v>45563.497665115741</v>
      </c>
      <c r="C1309" s="5" t="s">
        <v>12</v>
      </c>
      <c r="D1309" s="3">
        <v>2</v>
      </c>
      <c r="E1309" s="4">
        <v>1800</v>
      </c>
      <c r="F1309" s="5" t="s">
        <v>10</v>
      </c>
      <c r="G1309" s="5" t="s">
        <v>331</v>
      </c>
      <c r="H1309" s="1">
        <f t="shared" si="41"/>
        <v>3600</v>
      </c>
    </row>
    <row r="1310" spans="1:8" x14ac:dyDescent="0.3">
      <c r="A1310" s="2" t="str">
        <f t="shared" si="40"/>
        <v>Sep-2024</v>
      </c>
      <c r="B1310" s="2">
        <v>45563.984656435183</v>
      </c>
      <c r="C1310" s="5" t="s">
        <v>6</v>
      </c>
      <c r="D1310" s="3">
        <v>5</v>
      </c>
      <c r="E1310" s="4">
        <v>150</v>
      </c>
      <c r="F1310" s="5" t="s">
        <v>24</v>
      </c>
      <c r="G1310" s="5" t="s">
        <v>229</v>
      </c>
      <c r="H1310" s="1">
        <f t="shared" si="41"/>
        <v>750</v>
      </c>
    </row>
    <row r="1311" spans="1:8" x14ac:dyDescent="0.3">
      <c r="A1311" s="2" t="str">
        <f t="shared" si="40"/>
        <v>Sep-2024</v>
      </c>
      <c r="B1311" s="2">
        <v>45564.4716477662</v>
      </c>
      <c r="C1311" s="5" t="s">
        <v>36</v>
      </c>
      <c r="D1311" s="3">
        <v>5</v>
      </c>
      <c r="E1311" s="4">
        <v>700</v>
      </c>
      <c r="F1311" s="5" t="s">
        <v>13</v>
      </c>
      <c r="G1311" s="5" t="s">
        <v>410</v>
      </c>
      <c r="H1311" s="1">
        <f t="shared" si="41"/>
        <v>3500</v>
      </c>
    </row>
    <row r="1312" spans="1:8" x14ac:dyDescent="0.3">
      <c r="A1312" s="2" t="str">
        <f t="shared" si="40"/>
        <v>Sep-2024</v>
      </c>
      <c r="B1312" s="2">
        <v>45564.958639097225</v>
      </c>
      <c r="C1312" s="5" t="s">
        <v>9</v>
      </c>
      <c r="D1312" s="3">
        <v>6</v>
      </c>
      <c r="E1312" s="4">
        <v>1200</v>
      </c>
      <c r="F1312" s="5" t="s">
        <v>10</v>
      </c>
      <c r="G1312" s="5" t="s">
        <v>229</v>
      </c>
      <c r="H1312" s="1">
        <f t="shared" si="41"/>
        <v>7200</v>
      </c>
    </row>
    <row r="1313" spans="1:8" x14ac:dyDescent="0.3">
      <c r="A1313" s="2" t="str">
        <f t="shared" si="40"/>
        <v>Sep-2024</v>
      </c>
      <c r="B1313" s="2">
        <v>45565.445630416667</v>
      </c>
      <c r="C1313" s="5" t="s">
        <v>12</v>
      </c>
      <c r="D1313" s="3">
        <v>5</v>
      </c>
      <c r="E1313" s="4">
        <v>1200</v>
      </c>
      <c r="F1313" s="5" t="s">
        <v>7</v>
      </c>
      <c r="G1313" s="5" t="s">
        <v>444</v>
      </c>
      <c r="H1313" s="1">
        <f t="shared" si="41"/>
        <v>6000</v>
      </c>
    </row>
    <row r="1314" spans="1:8" x14ac:dyDescent="0.3">
      <c r="A1314" s="2" t="str">
        <f t="shared" si="40"/>
        <v>Sep-2024</v>
      </c>
      <c r="B1314" s="2">
        <v>45565.932621747685</v>
      </c>
      <c r="C1314" s="5" t="s">
        <v>17</v>
      </c>
      <c r="D1314" s="3">
        <v>6</v>
      </c>
      <c r="E1314" s="4">
        <v>1800</v>
      </c>
      <c r="F1314" s="5" t="s">
        <v>10</v>
      </c>
      <c r="G1314" s="5" t="s">
        <v>314</v>
      </c>
      <c r="H1314" s="1">
        <f t="shared" si="41"/>
        <v>10800</v>
      </c>
    </row>
    <row r="1315" spans="1:8" x14ac:dyDescent="0.3">
      <c r="A1315" s="2" t="str">
        <f t="shared" si="40"/>
        <v>Oct-2024</v>
      </c>
      <c r="B1315" s="2">
        <v>45566.419613078702</v>
      </c>
      <c r="C1315" s="5" t="s">
        <v>17</v>
      </c>
      <c r="D1315" s="3">
        <v>6</v>
      </c>
      <c r="E1315" s="4">
        <v>3500</v>
      </c>
      <c r="F1315" s="5" t="s">
        <v>7</v>
      </c>
      <c r="G1315" s="5" t="s">
        <v>311</v>
      </c>
      <c r="H1315" s="1">
        <f t="shared" si="41"/>
        <v>21000</v>
      </c>
    </row>
    <row r="1316" spans="1:8" x14ac:dyDescent="0.3">
      <c r="A1316" s="2" t="str">
        <f t="shared" si="40"/>
        <v>Oct-2024</v>
      </c>
      <c r="B1316" s="2">
        <v>45566.906604398151</v>
      </c>
      <c r="C1316" s="5" t="s">
        <v>12</v>
      </c>
      <c r="D1316" s="3">
        <v>6</v>
      </c>
      <c r="E1316" s="4">
        <v>700</v>
      </c>
      <c r="F1316" s="5" t="s">
        <v>24</v>
      </c>
      <c r="G1316" s="5" t="s">
        <v>167</v>
      </c>
      <c r="H1316" s="1">
        <f t="shared" si="41"/>
        <v>4200</v>
      </c>
    </row>
    <row r="1317" spans="1:8" x14ac:dyDescent="0.3">
      <c r="A1317" s="2" t="str">
        <f t="shared" si="40"/>
        <v>Oct-2024</v>
      </c>
      <c r="B1317" s="2">
        <v>45567.393595729169</v>
      </c>
      <c r="C1317" s="5" t="s">
        <v>26</v>
      </c>
      <c r="D1317" s="3">
        <v>4</v>
      </c>
      <c r="E1317" s="4">
        <v>700</v>
      </c>
      <c r="F1317" s="5" t="s">
        <v>10</v>
      </c>
      <c r="G1317" s="5" t="s">
        <v>51</v>
      </c>
      <c r="H1317" s="1">
        <f t="shared" si="41"/>
        <v>2800</v>
      </c>
    </row>
    <row r="1318" spans="1:8" x14ac:dyDescent="0.3">
      <c r="A1318" s="2" t="str">
        <f t="shared" si="40"/>
        <v>Oct-2024</v>
      </c>
      <c r="B1318" s="2">
        <v>45567.880587060186</v>
      </c>
      <c r="C1318" s="5" t="s">
        <v>17</v>
      </c>
      <c r="D1318" s="3">
        <v>3</v>
      </c>
      <c r="E1318" s="4">
        <v>150</v>
      </c>
      <c r="F1318" s="5" t="s">
        <v>24</v>
      </c>
      <c r="G1318" s="5" t="s">
        <v>67</v>
      </c>
      <c r="H1318" s="1">
        <f t="shared" si="41"/>
        <v>450</v>
      </c>
    </row>
    <row r="1319" spans="1:8" x14ac:dyDescent="0.3">
      <c r="A1319" s="2" t="str">
        <f t="shared" si="40"/>
        <v>Oct-2024</v>
      </c>
      <c r="B1319" s="2">
        <v>45568.367578391204</v>
      </c>
      <c r="C1319" s="5" t="s">
        <v>6</v>
      </c>
      <c r="D1319" s="3">
        <v>6</v>
      </c>
      <c r="E1319" s="4">
        <v>700</v>
      </c>
      <c r="F1319" s="5" t="s">
        <v>13</v>
      </c>
      <c r="G1319" s="5" t="s">
        <v>488</v>
      </c>
      <c r="H1319" s="1">
        <f t="shared" si="41"/>
        <v>4200</v>
      </c>
    </row>
    <row r="1320" spans="1:8" x14ac:dyDescent="0.3">
      <c r="A1320" s="2" t="str">
        <f t="shared" si="40"/>
        <v>Oct-2024</v>
      </c>
      <c r="B1320" s="2">
        <v>45568.854569710646</v>
      </c>
      <c r="C1320" s="5" t="s">
        <v>36</v>
      </c>
      <c r="D1320" s="3">
        <v>6</v>
      </c>
      <c r="E1320" s="4">
        <v>450</v>
      </c>
      <c r="F1320" s="5" t="s">
        <v>7</v>
      </c>
      <c r="G1320" s="5" t="s">
        <v>432</v>
      </c>
      <c r="H1320" s="1">
        <f t="shared" si="41"/>
        <v>2700</v>
      </c>
    </row>
    <row r="1321" spans="1:8" x14ac:dyDescent="0.3">
      <c r="A1321" s="2" t="str">
        <f t="shared" si="40"/>
        <v>Oct-2024</v>
      </c>
      <c r="B1321" s="2">
        <v>45569.341561041663</v>
      </c>
      <c r="C1321" s="5" t="s">
        <v>6</v>
      </c>
      <c r="D1321" s="3">
        <v>3</v>
      </c>
      <c r="E1321" s="4">
        <v>3500</v>
      </c>
      <c r="F1321" s="5" t="s">
        <v>7</v>
      </c>
      <c r="G1321" s="5" t="s">
        <v>466</v>
      </c>
      <c r="H1321" s="1">
        <f t="shared" si="41"/>
        <v>10500</v>
      </c>
    </row>
    <row r="1322" spans="1:8" x14ac:dyDescent="0.3">
      <c r="A1322" s="2" t="str">
        <f t="shared" si="40"/>
        <v>Oct-2024</v>
      </c>
      <c r="B1322" s="2">
        <v>45569.828552372688</v>
      </c>
      <c r="C1322" s="5" t="s">
        <v>17</v>
      </c>
      <c r="D1322" s="3">
        <v>1</v>
      </c>
      <c r="E1322" s="4">
        <v>150</v>
      </c>
      <c r="F1322" s="5" t="s">
        <v>24</v>
      </c>
      <c r="G1322" s="5" t="s">
        <v>315</v>
      </c>
      <c r="H1322" s="1">
        <f t="shared" si="41"/>
        <v>150</v>
      </c>
    </row>
    <row r="1323" spans="1:8" x14ac:dyDescent="0.3">
      <c r="A1323" s="2" t="str">
        <f t="shared" si="40"/>
        <v>Oct-2024</v>
      </c>
      <c r="B1323" s="2">
        <v>45570.31554369213</v>
      </c>
      <c r="C1323" s="5" t="s">
        <v>9</v>
      </c>
      <c r="D1323" s="3">
        <v>6</v>
      </c>
      <c r="E1323" s="4">
        <v>450</v>
      </c>
      <c r="F1323" s="5" t="s">
        <v>13</v>
      </c>
      <c r="G1323" s="5" t="s">
        <v>221</v>
      </c>
      <c r="H1323" s="1">
        <f t="shared" si="41"/>
        <v>2700</v>
      </c>
    </row>
    <row r="1324" spans="1:8" x14ac:dyDescent="0.3">
      <c r="A1324" s="2" t="str">
        <f t="shared" si="40"/>
        <v>Oct-2024</v>
      </c>
      <c r="B1324" s="2">
        <v>45570.802535023147</v>
      </c>
      <c r="C1324" s="5" t="s">
        <v>36</v>
      </c>
      <c r="D1324" s="3">
        <v>4</v>
      </c>
      <c r="E1324" s="4">
        <v>1800</v>
      </c>
      <c r="F1324" s="5" t="s">
        <v>10</v>
      </c>
      <c r="G1324" s="5" t="s">
        <v>32</v>
      </c>
      <c r="H1324" s="1">
        <f t="shared" si="41"/>
        <v>7200</v>
      </c>
    </row>
    <row r="1325" spans="1:8" x14ac:dyDescent="0.3">
      <c r="A1325" s="2" t="str">
        <f t="shared" si="40"/>
        <v>Oct-2024</v>
      </c>
      <c r="B1325" s="2">
        <v>45571.289526354165</v>
      </c>
      <c r="C1325" s="5" t="s">
        <v>36</v>
      </c>
      <c r="D1325" s="3">
        <v>5</v>
      </c>
      <c r="E1325" s="4">
        <v>1200</v>
      </c>
      <c r="F1325" s="5" t="s">
        <v>10</v>
      </c>
      <c r="G1325" s="5" t="s">
        <v>414</v>
      </c>
      <c r="H1325" s="1">
        <f t="shared" si="41"/>
        <v>6000</v>
      </c>
    </row>
    <row r="1326" spans="1:8" x14ac:dyDescent="0.3">
      <c r="A1326" s="2" t="str">
        <f t="shared" si="40"/>
        <v>Oct-2024</v>
      </c>
      <c r="B1326" s="2">
        <v>45571.776517673614</v>
      </c>
      <c r="C1326" s="5" t="s">
        <v>12</v>
      </c>
      <c r="D1326" s="3">
        <v>5</v>
      </c>
      <c r="E1326" s="4">
        <v>1800</v>
      </c>
      <c r="F1326" s="5" t="s">
        <v>7</v>
      </c>
      <c r="G1326" s="5" t="s">
        <v>130</v>
      </c>
      <c r="H1326" s="1">
        <f t="shared" si="41"/>
        <v>9000</v>
      </c>
    </row>
    <row r="1327" spans="1:8" x14ac:dyDescent="0.3">
      <c r="A1327" s="2" t="str">
        <f t="shared" si="40"/>
        <v>Oct-2024</v>
      </c>
      <c r="B1327" s="2">
        <v>45572.263509004631</v>
      </c>
      <c r="C1327" s="5" t="s">
        <v>12</v>
      </c>
      <c r="D1327" s="3">
        <v>2</v>
      </c>
      <c r="E1327" s="4">
        <v>1200</v>
      </c>
      <c r="F1327" s="5" t="s">
        <v>24</v>
      </c>
      <c r="G1327" s="5" t="s">
        <v>269</v>
      </c>
      <c r="H1327" s="1">
        <f t="shared" si="41"/>
        <v>2400</v>
      </c>
    </row>
    <row r="1328" spans="1:8" x14ac:dyDescent="0.3">
      <c r="A1328" s="2" t="str">
        <f t="shared" si="40"/>
        <v>Oct-2024</v>
      </c>
      <c r="B1328" s="2">
        <v>45572.750500335649</v>
      </c>
      <c r="C1328" s="5" t="s">
        <v>9</v>
      </c>
      <c r="D1328" s="3">
        <v>2</v>
      </c>
      <c r="E1328" s="4">
        <v>1800</v>
      </c>
      <c r="F1328" s="5" t="s">
        <v>24</v>
      </c>
      <c r="G1328" s="5" t="s">
        <v>397</v>
      </c>
      <c r="H1328" s="1">
        <f t="shared" si="41"/>
        <v>3600</v>
      </c>
    </row>
    <row r="1329" spans="1:8" x14ac:dyDescent="0.3">
      <c r="A1329" s="2" t="str">
        <f t="shared" si="40"/>
        <v>Oct-2024</v>
      </c>
      <c r="B1329" s="2">
        <v>45573.237491666667</v>
      </c>
      <c r="C1329" s="5" t="s">
        <v>26</v>
      </c>
      <c r="D1329" s="3">
        <v>5</v>
      </c>
      <c r="E1329" s="4">
        <v>700</v>
      </c>
      <c r="F1329" s="5" t="s">
        <v>10</v>
      </c>
      <c r="G1329" s="5" t="s">
        <v>93</v>
      </c>
      <c r="H1329" s="1">
        <f t="shared" si="41"/>
        <v>3500</v>
      </c>
    </row>
    <row r="1330" spans="1:8" x14ac:dyDescent="0.3">
      <c r="A1330" s="2" t="str">
        <f t="shared" si="40"/>
        <v>Oct-2024</v>
      </c>
      <c r="B1330" s="2">
        <v>45573.724482986108</v>
      </c>
      <c r="C1330" s="5" t="s">
        <v>36</v>
      </c>
      <c r="D1330" s="3">
        <v>5</v>
      </c>
      <c r="E1330" s="4">
        <v>450</v>
      </c>
      <c r="F1330" s="5" t="s">
        <v>13</v>
      </c>
      <c r="G1330" s="5" t="s">
        <v>391</v>
      </c>
      <c r="H1330" s="1">
        <f t="shared" si="41"/>
        <v>2250</v>
      </c>
    </row>
    <row r="1331" spans="1:8" x14ac:dyDescent="0.3">
      <c r="A1331" s="2" t="str">
        <f t="shared" si="40"/>
        <v>Oct-2024</v>
      </c>
      <c r="B1331" s="2">
        <v>45574.211474317133</v>
      </c>
      <c r="C1331" s="5" t="s">
        <v>9</v>
      </c>
      <c r="D1331" s="3">
        <v>4</v>
      </c>
      <c r="E1331" s="4">
        <v>1200</v>
      </c>
      <c r="F1331" s="5" t="s">
        <v>13</v>
      </c>
      <c r="G1331" s="5" t="s">
        <v>339</v>
      </c>
      <c r="H1331" s="1">
        <f t="shared" si="41"/>
        <v>4800</v>
      </c>
    </row>
    <row r="1332" spans="1:8" x14ac:dyDescent="0.3">
      <c r="A1332" s="2" t="str">
        <f t="shared" si="40"/>
        <v>Oct-2024</v>
      </c>
      <c r="B1332" s="2">
        <v>45574.698465648151</v>
      </c>
      <c r="C1332" s="5" t="s">
        <v>12</v>
      </c>
      <c r="D1332" s="3">
        <v>3</v>
      </c>
      <c r="E1332" s="4">
        <v>150</v>
      </c>
      <c r="F1332" s="5" t="s">
        <v>10</v>
      </c>
      <c r="G1332" s="5" t="s">
        <v>127</v>
      </c>
      <c r="H1332" s="1">
        <f t="shared" si="41"/>
        <v>450</v>
      </c>
    </row>
    <row r="1333" spans="1:8" x14ac:dyDescent="0.3">
      <c r="A1333" s="2" t="str">
        <f t="shared" si="40"/>
        <v>Oct-2024</v>
      </c>
      <c r="B1333" s="2">
        <v>45575.185456967592</v>
      </c>
      <c r="C1333" s="5" t="s">
        <v>12</v>
      </c>
      <c r="D1333" s="3">
        <v>2</v>
      </c>
      <c r="E1333" s="4">
        <v>450</v>
      </c>
      <c r="F1333" s="5" t="s">
        <v>10</v>
      </c>
      <c r="G1333" s="5" t="s">
        <v>342</v>
      </c>
      <c r="H1333" s="1">
        <f t="shared" si="41"/>
        <v>900</v>
      </c>
    </row>
    <row r="1334" spans="1:8" x14ac:dyDescent="0.3">
      <c r="A1334" s="2" t="str">
        <f t="shared" si="40"/>
        <v>Oct-2024</v>
      </c>
      <c r="B1334" s="2">
        <v>45575.67244829861</v>
      </c>
      <c r="C1334" s="5" t="s">
        <v>36</v>
      </c>
      <c r="D1334" s="3">
        <v>3</v>
      </c>
      <c r="E1334" s="4">
        <v>150</v>
      </c>
      <c r="F1334" s="5" t="s">
        <v>24</v>
      </c>
      <c r="G1334" s="5" t="s">
        <v>144</v>
      </c>
      <c r="H1334" s="1">
        <f t="shared" si="41"/>
        <v>450</v>
      </c>
    </row>
    <row r="1335" spans="1:8" x14ac:dyDescent="0.3">
      <c r="A1335" s="2" t="str">
        <f t="shared" si="40"/>
        <v>Oct-2024</v>
      </c>
      <c r="B1335" s="2">
        <v>45576.159439629628</v>
      </c>
      <c r="C1335" s="5" t="s">
        <v>6</v>
      </c>
      <c r="D1335" s="3">
        <v>4</v>
      </c>
      <c r="E1335" s="4">
        <v>450</v>
      </c>
      <c r="F1335" s="5" t="s">
        <v>13</v>
      </c>
      <c r="G1335" s="5" t="s">
        <v>450</v>
      </c>
      <c r="H1335" s="1">
        <f t="shared" si="41"/>
        <v>1800</v>
      </c>
    </row>
    <row r="1336" spans="1:8" x14ac:dyDescent="0.3">
      <c r="A1336" s="2" t="str">
        <f t="shared" si="40"/>
        <v>Oct-2024</v>
      </c>
      <c r="B1336" s="2">
        <v>45576.646430949077</v>
      </c>
      <c r="C1336" s="5" t="s">
        <v>17</v>
      </c>
      <c r="D1336" s="3">
        <v>5</v>
      </c>
      <c r="E1336" s="4">
        <v>450</v>
      </c>
      <c r="F1336" s="5" t="s">
        <v>10</v>
      </c>
      <c r="G1336" s="5" t="s">
        <v>270</v>
      </c>
      <c r="H1336" s="1">
        <f t="shared" si="41"/>
        <v>2250</v>
      </c>
    </row>
    <row r="1337" spans="1:8" x14ac:dyDescent="0.3">
      <c r="A1337" s="2" t="str">
        <f t="shared" si="40"/>
        <v>Oct-2024</v>
      </c>
      <c r="B1337" s="2">
        <v>45577.133422280094</v>
      </c>
      <c r="C1337" s="5" t="s">
        <v>12</v>
      </c>
      <c r="D1337" s="3">
        <v>6</v>
      </c>
      <c r="E1337" s="4">
        <v>1800</v>
      </c>
      <c r="F1337" s="5" t="s">
        <v>10</v>
      </c>
      <c r="G1337" s="5" t="s">
        <v>84</v>
      </c>
      <c r="H1337" s="1">
        <f t="shared" si="41"/>
        <v>10800</v>
      </c>
    </row>
    <row r="1338" spans="1:8" x14ac:dyDescent="0.3">
      <c r="A1338" s="2" t="str">
        <f t="shared" si="40"/>
        <v>Oct-2024</v>
      </c>
      <c r="B1338" s="2">
        <v>45577.620413611112</v>
      </c>
      <c r="C1338" s="5" t="s">
        <v>26</v>
      </c>
      <c r="D1338" s="3">
        <v>3</v>
      </c>
      <c r="E1338" s="4">
        <v>1200</v>
      </c>
      <c r="F1338" s="5" t="s">
        <v>7</v>
      </c>
      <c r="G1338" s="5" t="s">
        <v>312</v>
      </c>
      <c r="H1338" s="1">
        <f t="shared" si="41"/>
        <v>3600</v>
      </c>
    </row>
    <row r="1339" spans="1:8" x14ac:dyDescent="0.3">
      <c r="A1339" s="2" t="str">
        <f t="shared" si="40"/>
        <v>Oct-2024</v>
      </c>
      <c r="B1339" s="2">
        <v>45578.10740494213</v>
      </c>
      <c r="C1339" s="5" t="s">
        <v>26</v>
      </c>
      <c r="D1339" s="3">
        <v>5</v>
      </c>
      <c r="E1339" s="4">
        <v>1200</v>
      </c>
      <c r="F1339" s="5" t="s">
        <v>10</v>
      </c>
      <c r="G1339" s="5" t="s">
        <v>311</v>
      </c>
      <c r="H1339" s="1">
        <f t="shared" si="41"/>
        <v>6000</v>
      </c>
    </row>
    <row r="1340" spans="1:8" x14ac:dyDescent="0.3">
      <c r="A1340" s="2" t="str">
        <f t="shared" si="40"/>
        <v>Oct-2024</v>
      </c>
      <c r="B1340" s="2">
        <v>45578.594396261571</v>
      </c>
      <c r="C1340" s="5" t="s">
        <v>12</v>
      </c>
      <c r="D1340" s="3">
        <v>5</v>
      </c>
      <c r="E1340" s="4">
        <v>450</v>
      </c>
      <c r="F1340" s="5" t="s">
        <v>10</v>
      </c>
      <c r="G1340" s="5" t="s">
        <v>365</v>
      </c>
      <c r="H1340" s="1">
        <f t="shared" si="41"/>
        <v>2250</v>
      </c>
    </row>
    <row r="1341" spans="1:8" x14ac:dyDescent="0.3">
      <c r="A1341" s="2" t="str">
        <f t="shared" si="40"/>
        <v>Oct-2024</v>
      </c>
      <c r="B1341" s="2">
        <v>45579.081387592596</v>
      </c>
      <c r="C1341" s="5" t="s">
        <v>6</v>
      </c>
      <c r="D1341" s="3">
        <v>1</v>
      </c>
      <c r="E1341" s="4">
        <v>700</v>
      </c>
      <c r="F1341" s="5" t="s">
        <v>13</v>
      </c>
      <c r="G1341" s="5" t="s">
        <v>109</v>
      </c>
      <c r="H1341" s="1">
        <f t="shared" si="41"/>
        <v>700</v>
      </c>
    </row>
    <row r="1342" spans="1:8" x14ac:dyDescent="0.3">
      <c r="A1342" s="2" t="str">
        <f t="shared" si="40"/>
        <v>Oct-2024</v>
      </c>
      <c r="B1342" s="2">
        <v>45579.568378923614</v>
      </c>
      <c r="C1342" s="5" t="s">
        <v>6</v>
      </c>
      <c r="D1342" s="3">
        <v>3</v>
      </c>
      <c r="E1342" s="4">
        <v>700</v>
      </c>
      <c r="F1342" s="5" t="s">
        <v>24</v>
      </c>
      <c r="G1342" s="5" t="s">
        <v>298</v>
      </c>
      <c r="H1342" s="1">
        <f t="shared" si="41"/>
        <v>2100</v>
      </c>
    </row>
    <row r="1343" spans="1:8" x14ac:dyDescent="0.3">
      <c r="A1343" s="2" t="str">
        <f t="shared" si="40"/>
        <v>Oct-2024</v>
      </c>
      <c r="B1343" s="2">
        <v>45580.055370243055</v>
      </c>
      <c r="C1343" s="5" t="s">
        <v>9</v>
      </c>
      <c r="D1343" s="3">
        <v>6</v>
      </c>
      <c r="E1343" s="4">
        <v>150</v>
      </c>
      <c r="F1343" s="5" t="s">
        <v>13</v>
      </c>
      <c r="G1343" s="5" t="s">
        <v>247</v>
      </c>
      <c r="H1343" s="1">
        <f t="shared" si="41"/>
        <v>900</v>
      </c>
    </row>
    <row r="1344" spans="1:8" x14ac:dyDescent="0.3">
      <c r="A1344" s="2" t="str">
        <f t="shared" si="40"/>
        <v>Oct-2024</v>
      </c>
      <c r="B1344" s="2">
        <v>45580.542361574073</v>
      </c>
      <c r="C1344" s="5" t="s">
        <v>26</v>
      </c>
      <c r="D1344" s="3">
        <v>3</v>
      </c>
      <c r="E1344" s="4">
        <v>150</v>
      </c>
      <c r="F1344" s="5" t="s">
        <v>24</v>
      </c>
      <c r="G1344" s="5" t="s">
        <v>480</v>
      </c>
      <c r="H1344" s="1">
        <f t="shared" si="41"/>
        <v>450</v>
      </c>
    </row>
    <row r="1345" spans="1:8" x14ac:dyDescent="0.3">
      <c r="A1345" s="2" t="str">
        <f t="shared" si="40"/>
        <v>Oct-2024</v>
      </c>
      <c r="B1345" s="2">
        <v>45581.02935290509</v>
      </c>
      <c r="C1345" s="5" t="s">
        <v>9</v>
      </c>
      <c r="D1345" s="3">
        <v>5</v>
      </c>
      <c r="E1345" s="4">
        <v>1800</v>
      </c>
      <c r="F1345" s="5" t="s">
        <v>7</v>
      </c>
      <c r="G1345" s="5" t="s">
        <v>162</v>
      </c>
      <c r="H1345" s="1">
        <f t="shared" si="41"/>
        <v>9000</v>
      </c>
    </row>
    <row r="1346" spans="1:8" x14ac:dyDescent="0.3">
      <c r="A1346" s="2" t="str">
        <f t="shared" si="40"/>
        <v>Oct-2024</v>
      </c>
      <c r="B1346" s="2">
        <v>45581.516344224539</v>
      </c>
      <c r="C1346" s="5" t="s">
        <v>26</v>
      </c>
      <c r="D1346" s="3">
        <v>6</v>
      </c>
      <c r="E1346" s="4">
        <v>450</v>
      </c>
      <c r="F1346" s="5" t="s">
        <v>10</v>
      </c>
      <c r="G1346" s="5" t="s">
        <v>267</v>
      </c>
      <c r="H1346" s="1">
        <f t="shared" si="41"/>
        <v>2700</v>
      </c>
    </row>
    <row r="1347" spans="1:8" x14ac:dyDescent="0.3">
      <c r="A1347" s="2" t="str">
        <f t="shared" ref="A1347:A1410" si="42">TEXT(B1347, "mmm-yyyy")</f>
        <v>Oct-2024</v>
      </c>
      <c r="B1347" s="2">
        <v>45582.003335555557</v>
      </c>
      <c r="C1347" s="5" t="s">
        <v>17</v>
      </c>
      <c r="D1347" s="3">
        <v>4</v>
      </c>
      <c r="E1347" s="4">
        <v>150</v>
      </c>
      <c r="F1347" s="5" t="s">
        <v>7</v>
      </c>
      <c r="G1347" s="5" t="s">
        <v>362</v>
      </c>
      <c r="H1347" s="1">
        <f t="shared" ref="H1347:H1410" si="43" xml:space="preserve"> D1347 * E1347</f>
        <v>600</v>
      </c>
    </row>
    <row r="1348" spans="1:8" x14ac:dyDescent="0.3">
      <c r="A1348" s="2" t="str">
        <f t="shared" si="42"/>
        <v>Oct-2024</v>
      </c>
      <c r="B1348" s="2">
        <v>45582.490326886575</v>
      </c>
      <c r="C1348" s="5" t="s">
        <v>17</v>
      </c>
      <c r="D1348" s="3">
        <v>1</v>
      </c>
      <c r="E1348" s="4">
        <v>150</v>
      </c>
      <c r="F1348" s="5" t="s">
        <v>24</v>
      </c>
      <c r="G1348" s="5" t="s">
        <v>47</v>
      </c>
      <c r="H1348" s="1">
        <f t="shared" si="43"/>
        <v>150</v>
      </c>
    </row>
    <row r="1349" spans="1:8" x14ac:dyDescent="0.3">
      <c r="A1349" s="2" t="str">
        <f t="shared" si="42"/>
        <v>Oct-2024</v>
      </c>
      <c r="B1349" s="2">
        <v>45582.977318217592</v>
      </c>
      <c r="C1349" s="5" t="s">
        <v>36</v>
      </c>
      <c r="D1349" s="3">
        <v>5</v>
      </c>
      <c r="E1349" s="4">
        <v>3500</v>
      </c>
      <c r="F1349" s="5" t="s">
        <v>13</v>
      </c>
      <c r="G1349" s="5" t="s">
        <v>118</v>
      </c>
      <c r="H1349" s="1">
        <f t="shared" si="43"/>
        <v>17500</v>
      </c>
    </row>
    <row r="1350" spans="1:8" x14ac:dyDescent="0.3">
      <c r="A1350" s="2" t="str">
        <f t="shared" si="42"/>
        <v>Oct-2024</v>
      </c>
      <c r="B1350" s="2">
        <v>45583.464309537034</v>
      </c>
      <c r="C1350" s="5" t="s">
        <v>9</v>
      </c>
      <c r="D1350" s="3">
        <v>2</v>
      </c>
      <c r="E1350" s="4">
        <v>450</v>
      </c>
      <c r="F1350" s="5" t="s">
        <v>13</v>
      </c>
      <c r="G1350" s="5" t="s">
        <v>182</v>
      </c>
      <c r="H1350" s="1">
        <f t="shared" si="43"/>
        <v>900</v>
      </c>
    </row>
    <row r="1351" spans="1:8" x14ac:dyDescent="0.3">
      <c r="A1351" s="2" t="str">
        <f t="shared" si="42"/>
        <v>Oct-2024</v>
      </c>
      <c r="B1351" s="2">
        <v>45583.951300868059</v>
      </c>
      <c r="C1351" s="5" t="s">
        <v>12</v>
      </c>
      <c r="D1351" s="3">
        <v>2</v>
      </c>
      <c r="E1351" s="4">
        <v>1800</v>
      </c>
      <c r="F1351" s="5" t="s">
        <v>7</v>
      </c>
      <c r="G1351" s="5" t="s">
        <v>185</v>
      </c>
      <c r="H1351" s="1">
        <f t="shared" si="43"/>
        <v>3600</v>
      </c>
    </row>
    <row r="1352" spans="1:8" x14ac:dyDescent="0.3">
      <c r="A1352" s="2" t="str">
        <f t="shared" si="42"/>
        <v>Oct-2024</v>
      </c>
      <c r="B1352" s="2">
        <v>45584.438292199076</v>
      </c>
      <c r="C1352" s="5" t="s">
        <v>9</v>
      </c>
      <c r="D1352" s="3">
        <v>1</v>
      </c>
      <c r="E1352" s="4">
        <v>150</v>
      </c>
      <c r="F1352" s="5" t="s">
        <v>24</v>
      </c>
      <c r="G1352" s="5" t="s">
        <v>341</v>
      </c>
      <c r="H1352" s="1">
        <f t="shared" si="43"/>
        <v>150</v>
      </c>
    </row>
    <row r="1353" spans="1:8" x14ac:dyDescent="0.3">
      <c r="A1353" s="2" t="str">
        <f t="shared" si="42"/>
        <v>Oct-2024</v>
      </c>
      <c r="B1353" s="2">
        <v>45584.925283518518</v>
      </c>
      <c r="C1353" s="5" t="s">
        <v>12</v>
      </c>
      <c r="D1353" s="3">
        <v>4</v>
      </c>
      <c r="E1353" s="4">
        <v>1800</v>
      </c>
      <c r="F1353" s="5" t="s">
        <v>7</v>
      </c>
      <c r="G1353" s="5" t="s">
        <v>312</v>
      </c>
      <c r="H1353" s="1">
        <f t="shared" si="43"/>
        <v>7200</v>
      </c>
    </row>
    <row r="1354" spans="1:8" x14ac:dyDescent="0.3">
      <c r="A1354" s="2" t="str">
        <f t="shared" si="42"/>
        <v>Oct-2024</v>
      </c>
      <c r="B1354" s="2">
        <v>45585.412274849536</v>
      </c>
      <c r="C1354" s="5" t="s">
        <v>6</v>
      </c>
      <c r="D1354" s="3">
        <v>5</v>
      </c>
      <c r="E1354" s="4">
        <v>1200</v>
      </c>
      <c r="F1354" s="5" t="s">
        <v>7</v>
      </c>
      <c r="G1354" s="5" t="s">
        <v>19</v>
      </c>
      <c r="H1354" s="1">
        <f t="shared" si="43"/>
        <v>6000</v>
      </c>
    </row>
    <row r="1355" spans="1:8" x14ac:dyDescent="0.3">
      <c r="A1355" s="2" t="str">
        <f t="shared" si="42"/>
        <v>Oct-2024</v>
      </c>
      <c r="B1355" s="2">
        <v>45585.899266180553</v>
      </c>
      <c r="C1355" s="5" t="s">
        <v>9</v>
      </c>
      <c r="D1355" s="3">
        <v>3</v>
      </c>
      <c r="E1355" s="4">
        <v>1800</v>
      </c>
      <c r="F1355" s="5" t="s">
        <v>10</v>
      </c>
      <c r="G1355" s="5" t="s">
        <v>213</v>
      </c>
      <c r="H1355" s="1">
        <f t="shared" si="43"/>
        <v>5400</v>
      </c>
    </row>
    <row r="1356" spans="1:8" x14ac:dyDescent="0.3">
      <c r="A1356" s="2" t="str">
        <f t="shared" si="42"/>
        <v>Oct-2024</v>
      </c>
      <c r="B1356" s="2">
        <v>45586.386257500002</v>
      </c>
      <c r="C1356" s="5" t="s">
        <v>6</v>
      </c>
      <c r="D1356" s="3">
        <v>1</v>
      </c>
      <c r="E1356" s="4">
        <v>700</v>
      </c>
      <c r="F1356" s="5" t="s">
        <v>7</v>
      </c>
      <c r="G1356" s="5" t="s">
        <v>333</v>
      </c>
      <c r="H1356" s="1">
        <f t="shared" si="43"/>
        <v>700</v>
      </c>
    </row>
    <row r="1357" spans="1:8" x14ac:dyDescent="0.3">
      <c r="A1357" s="2" t="str">
        <f t="shared" si="42"/>
        <v>Oct-2024</v>
      </c>
      <c r="B1357" s="2">
        <v>45586.87324883102</v>
      </c>
      <c r="C1357" s="5" t="s">
        <v>17</v>
      </c>
      <c r="D1357" s="3">
        <v>4</v>
      </c>
      <c r="E1357" s="4">
        <v>700</v>
      </c>
      <c r="F1357" s="5" t="s">
        <v>10</v>
      </c>
      <c r="G1357" s="5" t="s">
        <v>399</v>
      </c>
      <c r="H1357" s="1">
        <f t="shared" si="43"/>
        <v>2800</v>
      </c>
    </row>
    <row r="1358" spans="1:8" x14ac:dyDescent="0.3">
      <c r="A1358" s="2" t="str">
        <f t="shared" si="42"/>
        <v>Oct-2024</v>
      </c>
      <c r="B1358" s="2">
        <v>45587.360240162037</v>
      </c>
      <c r="C1358" s="5" t="s">
        <v>17</v>
      </c>
      <c r="D1358" s="3">
        <v>3</v>
      </c>
      <c r="E1358" s="4">
        <v>1800</v>
      </c>
      <c r="F1358" s="5" t="s">
        <v>10</v>
      </c>
      <c r="G1358" s="5" t="s">
        <v>356</v>
      </c>
      <c r="H1358" s="1">
        <f t="shared" si="43"/>
        <v>5400</v>
      </c>
    </row>
    <row r="1359" spans="1:8" x14ac:dyDescent="0.3">
      <c r="A1359" s="2" t="str">
        <f t="shared" si="42"/>
        <v>Oct-2024</v>
      </c>
      <c r="B1359" s="2">
        <v>45587.847231493055</v>
      </c>
      <c r="C1359" s="5" t="s">
        <v>36</v>
      </c>
      <c r="D1359" s="3">
        <v>2</v>
      </c>
      <c r="E1359" s="4">
        <v>700</v>
      </c>
      <c r="F1359" s="5" t="s">
        <v>13</v>
      </c>
      <c r="G1359" s="5" t="s">
        <v>329</v>
      </c>
      <c r="H1359" s="1">
        <f t="shared" si="43"/>
        <v>1400</v>
      </c>
    </row>
    <row r="1360" spans="1:8" x14ac:dyDescent="0.3">
      <c r="A1360" s="2" t="str">
        <f t="shared" si="42"/>
        <v>Oct-2024</v>
      </c>
      <c r="B1360" s="2">
        <v>45588.334222812497</v>
      </c>
      <c r="C1360" s="5" t="s">
        <v>9</v>
      </c>
      <c r="D1360" s="3">
        <v>2</v>
      </c>
      <c r="E1360" s="4">
        <v>1200</v>
      </c>
      <c r="F1360" s="5" t="s">
        <v>10</v>
      </c>
      <c r="G1360" s="5" t="s">
        <v>489</v>
      </c>
      <c r="H1360" s="1">
        <f t="shared" si="43"/>
        <v>2400</v>
      </c>
    </row>
    <row r="1361" spans="1:8" x14ac:dyDescent="0.3">
      <c r="A1361" s="2" t="str">
        <f t="shared" si="42"/>
        <v>Oct-2024</v>
      </c>
      <c r="B1361" s="2">
        <v>45588.821214143522</v>
      </c>
      <c r="C1361" s="5" t="s">
        <v>6</v>
      </c>
      <c r="D1361" s="3">
        <v>3</v>
      </c>
      <c r="E1361" s="4">
        <v>450</v>
      </c>
      <c r="F1361" s="5" t="s">
        <v>10</v>
      </c>
      <c r="G1361" s="5" t="s">
        <v>482</v>
      </c>
      <c r="H1361" s="1">
        <f t="shared" si="43"/>
        <v>1350</v>
      </c>
    </row>
    <row r="1362" spans="1:8" x14ac:dyDescent="0.3">
      <c r="A1362" s="2" t="str">
        <f t="shared" si="42"/>
        <v>Oct-2024</v>
      </c>
      <c r="B1362" s="2">
        <v>45589.308205474539</v>
      </c>
      <c r="C1362" s="5" t="s">
        <v>12</v>
      </c>
      <c r="D1362" s="3">
        <v>1</v>
      </c>
      <c r="E1362" s="4">
        <v>700</v>
      </c>
      <c r="F1362" s="5" t="s">
        <v>13</v>
      </c>
      <c r="G1362" s="5" t="s">
        <v>135</v>
      </c>
      <c r="H1362" s="1">
        <f t="shared" si="43"/>
        <v>700</v>
      </c>
    </row>
    <row r="1363" spans="1:8" x14ac:dyDescent="0.3">
      <c r="A1363" s="2" t="str">
        <f t="shared" si="42"/>
        <v>Oct-2024</v>
      </c>
      <c r="B1363" s="2">
        <v>45589.795196793981</v>
      </c>
      <c r="C1363" s="5" t="s">
        <v>17</v>
      </c>
      <c r="D1363" s="3">
        <v>2</v>
      </c>
      <c r="E1363" s="4">
        <v>700</v>
      </c>
      <c r="F1363" s="5" t="s">
        <v>7</v>
      </c>
      <c r="G1363" s="5" t="s">
        <v>476</v>
      </c>
      <c r="H1363" s="1">
        <f t="shared" si="43"/>
        <v>1400</v>
      </c>
    </row>
    <row r="1364" spans="1:8" x14ac:dyDescent="0.3">
      <c r="A1364" s="2" t="str">
        <f t="shared" si="42"/>
        <v>Oct-2024</v>
      </c>
      <c r="B1364" s="2">
        <v>45590.282188124998</v>
      </c>
      <c r="C1364" s="5" t="s">
        <v>17</v>
      </c>
      <c r="D1364" s="3">
        <v>5</v>
      </c>
      <c r="E1364" s="4">
        <v>1800</v>
      </c>
      <c r="F1364" s="5" t="s">
        <v>24</v>
      </c>
      <c r="G1364" s="5" t="s">
        <v>405</v>
      </c>
      <c r="H1364" s="1">
        <f t="shared" si="43"/>
        <v>9000</v>
      </c>
    </row>
    <row r="1365" spans="1:8" x14ac:dyDescent="0.3">
      <c r="A1365" s="2" t="str">
        <f t="shared" si="42"/>
        <v>Oct-2024</v>
      </c>
      <c r="B1365" s="2">
        <v>45590.769179456016</v>
      </c>
      <c r="C1365" s="5" t="s">
        <v>12</v>
      </c>
      <c r="D1365" s="3">
        <v>6</v>
      </c>
      <c r="E1365" s="4">
        <v>1200</v>
      </c>
      <c r="F1365" s="5" t="s">
        <v>24</v>
      </c>
      <c r="G1365" s="5" t="s">
        <v>169</v>
      </c>
      <c r="H1365" s="1">
        <f t="shared" si="43"/>
        <v>7200</v>
      </c>
    </row>
    <row r="1366" spans="1:8" x14ac:dyDescent="0.3">
      <c r="A1366" s="2" t="str">
        <f t="shared" si="42"/>
        <v>Oct-2024</v>
      </c>
      <c r="B1366" s="2">
        <v>45591.256170775465</v>
      </c>
      <c r="C1366" s="5" t="s">
        <v>6</v>
      </c>
      <c r="D1366" s="3">
        <v>3</v>
      </c>
      <c r="E1366" s="4">
        <v>450</v>
      </c>
      <c r="F1366" s="5" t="s">
        <v>24</v>
      </c>
      <c r="G1366" s="5" t="s">
        <v>39</v>
      </c>
      <c r="H1366" s="1">
        <f t="shared" si="43"/>
        <v>1350</v>
      </c>
    </row>
    <row r="1367" spans="1:8" x14ac:dyDescent="0.3">
      <c r="A1367" s="2" t="str">
        <f t="shared" si="42"/>
        <v>Oct-2024</v>
      </c>
      <c r="B1367" s="2">
        <v>45591.743162106482</v>
      </c>
      <c r="C1367" s="5" t="s">
        <v>6</v>
      </c>
      <c r="D1367" s="3">
        <v>3</v>
      </c>
      <c r="E1367" s="4">
        <v>1800</v>
      </c>
      <c r="F1367" s="5" t="s">
        <v>7</v>
      </c>
      <c r="G1367" s="5" t="s">
        <v>451</v>
      </c>
      <c r="H1367" s="1">
        <f t="shared" si="43"/>
        <v>5400</v>
      </c>
    </row>
    <row r="1368" spans="1:8" x14ac:dyDescent="0.3">
      <c r="A1368" s="2" t="str">
        <f t="shared" si="42"/>
        <v>Oct-2024</v>
      </c>
      <c r="B1368" s="2">
        <v>45592.2301534375</v>
      </c>
      <c r="C1368" s="5" t="s">
        <v>9</v>
      </c>
      <c r="D1368" s="3">
        <v>2</v>
      </c>
      <c r="E1368" s="4">
        <v>1800</v>
      </c>
      <c r="F1368" s="5" t="s">
        <v>10</v>
      </c>
      <c r="G1368" s="5" t="s">
        <v>394</v>
      </c>
      <c r="H1368" s="1">
        <f t="shared" si="43"/>
        <v>3600</v>
      </c>
    </row>
    <row r="1369" spans="1:8" x14ac:dyDescent="0.3">
      <c r="A1369" s="2" t="str">
        <f t="shared" si="42"/>
        <v>Oct-2024</v>
      </c>
      <c r="B1369" s="2">
        <v>45592.717144768518</v>
      </c>
      <c r="C1369" s="5" t="s">
        <v>9</v>
      </c>
      <c r="D1369" s="3">
        <v>1</v>
      </c>
      <c r="E1369" s="4">
        <v>3500</v>
      </c>
      <c r="F1369" s="5" t="s">
        <v>24</v>
      </c>
      <c r="G1369" s="5" t="s">
        <v>287</v>
      </c>
      <c r="H1369" s="1">
        <f t="shared" si="43"/>
        <v>3500</v>
      </c>
    </row>
    <row r="1370" spans="1:8" x14ac:dyDescent="0.3">
      <c r="A1370" s="2" t="str">
        <f t="shared" si="42"/>
        <v>Oct-2024</v>
      </c>
      <c r="B1370" s="2">
        <v>45593.204136087959</v>
      </c>
      <c r="C1370" s="5" t="s">
        <v>26</v>
      </c>
      <c r="D1370" s="3">
        <v>5</v>
      </c>
      <c r="E1370" s="4">
        <v>1200</v>
      </c>
      <c r="F1370" s="5" t="s">
        <v>7</v>
      </c>
      <c r="G1370" s="5" t="s">
        <v>157</v>
      </c>
      <c r="H1370" s="1">
        <f t="shared" si="43"/>
        <v>6000</v>
      </c>
    </row>
    <row r="1371" spans="1:8" x14ac:dyDescent="0.3">
      <c r="A1371" s="2" t="str">
        <f t="shared" si="42"/>
        <v>Oct-2024</v>
      </c>
      <c r="B1371" s="2">
        <v>45593.691127418984</v>
      </c>
      <c r="C1371" s="5" t="s">
        <v>26</v>
      </c>
      <c r="D1371" s="3">
        <v>1</v>
      </c>
      <c r="E1371" s="4">
        <v>450</v>
      </c>
      <c r="F1371" s="5" t="s">
        <v>10</v>
      </c>
      <c r="G1371" s="5" t="s">
        <v>99</v>
      </c>
      <c r="H1371" s="1">
        <f t="shared" si="43"/>
        <v>450</v>
      </c>
    </row>
    <row r="1372" spans="1:8" x14ac:dyDescent="0.3">
      <c r="A1372" s="2" t="str">
        <f t="shared" si="42"/>
        <v>Oct-2024</v>
      </c>
      <c r="B1372" s="2">
        <v>45594.178118750002</v>
      </c>
      <c r="C1372" s="5" t="s">
        <v>36</v>
      </c>
      <c r="D1372" s="3">
        <v>4</v>
      </c>
      <c r="E1372" s="4">
        <v>1200</v>
      </c>
      <c r="F1372" s="5" t="s">
        <v>13</v>
      </c>
      <c r="G1372" s="5" t="s">
        <v>379</v>
      </c>
      <c r="H1372" s="1">
        <f t="shared" si="43"/>
        <v>4800</v>
      </c>
    </row>
    <row r="1373" spans="1:8" x14ac:dyDescent="0.3">
      <c r="A1373" s="2" t="str">
        <f t="shared" si="42"/>
        <v>Oct-2024</v>
      </c>
      <c r="B1373" s="2">
        <v>45594.665110069443</v>
      </c>
      <c r="C1373" s="5" t="s">
        <v>17</v>
      </c>
      <c r="D1373" s="3">
        <v>4</v>
      </c>
      <c r="E1373" s="4">
        <v>450</v>
      </c>
      <c r="F1373" s="5" t="s">
        <v>24</v>
      </c>
      <c r="G1373" s="5" t="s">
        <v>107</v>
      </c>
      <c r="H1373" s="1">
        <f t="shared" si="43"/>
        <v>1800</v>
      </c>
    </row>
    <row r="1374" spans="1:8" x14ac:dyDescent="0.3">
      <c r="A1374" s="2" t="str">
        <f t="shared" si="42"/>
        <v>Oct-2024</v>
      </c>
      <c r="B1374" s="2">
        <v>45595.152101400461</v>
      </c>
      <c r="C1374" s="5" t="s">
        <v>9</v>
      </c>
      <c r="D1374" s="3">
        <v>6</v>
      </c>
      <c r="E1374" s="4">
        <v>1200</v>
      </c>
      <c r="F1374" s="5" t="s">
        <v>10</v>
      </c>
      <c r="G1374" s="5" t="s">
        <v>171</v>
      </c>
      <c r="H1374" s="1">
        <f t="shared" si="43"/>
        <v>7200</v>
      </c>
    </row>
    <row r="1375" spans="1:8" x14ac:dyDescent="0.3">
      <c r="A1375" s="2" t="str">
        <f t="shared" si="42"/>
        <v>Oct-2024</v>
      </c>
      <c r="B1375" s="2">
        <v>45595.639092731479</v>
      </c>
      <c r="C1375" s="5" t="s">
        <v>6</v>
      </c>
      <c r="D1375" s="3">
        <v>2</v>
      </c>
      <c r="E1375" s="4">
        <v>1800</v>
      </c>
      <c r="F1375" s="5" t="s">
        <v>24</v>
      </c>
      <c r="G1375" s="5" t="s">
        <v>306</v>
      </c>
      <c r="H1375" s="1">
        <f t="shared" si="43"/>
        <v>3600</v>
      </c>
    </row>
    <row r="1376" spans="1:8" x14ac:dyDescent="0.3">
      <c r="A1376" s="2" t="str">
        <f t="shared" si="42"/>
        <v>Oct-2024</v>
      </c>
      <c r="B1376" s="2">
        <v>45596.126084050928</v>
      </c>
      <c r="C1376" s="5" t="s">
        <v>12</v>
      </c>
      <c r="D1376" s="3">
        <v>2</v>
      </c>
      <c r="E1376" s="4">
        <v>1800</v>
      </c>
      <c r="F1376" s="5" t="s">
        <v>24</v>
      </c>
      <c r="G1376" s="5" t="s">
        <v>188</v>
      </c>
      <c r="H1376" s="1">
        <f t="shared" si="43"/>
        <v>3600</v>
      </c>
    </row>
    <row r="1377" spans="1:8" x14ac:dyDescent="0.3">
      <c r="A1377" s="2" t="str">
        <f t="shared" si="42"/>
        <v>Oct-2024</v>
      </c>
      <c r="B1377" s="2">
        <v>45596.613075381945</v>
      </c>
      <c r="C1377" s="5" t="s">
        <v>6</v>
      </c>
      <c r="D1377" s="3">
        <v>2</v>
      </c>
      <c r="E1377" s="4">
        <v>150</v>
      </c>
      <c r="F1377" s="5" t="s">
        <v>24</v>
      </c>
      <c r="G1377" s="5" t="s">
        <v>60</v>
      </c>
      <c r="H1377" s="1">
        <f t="shared" si="43"/>
        <v>300</v>
      </c>
    </row>
    <row r="1378" spans="1:8" x14ac:dyDescent="0.3">
      <c r="A1378" s="2" t="str">
        <f t="shared" si="42"/>
        <v>Nov-2024</v>
      </c>
      <c r="B1378" s="2">
        <v>45597.100066712963</v>
      </c>
      <c r="C1378" s="5" t="s">
        <v>17</v>
      </c>
      <c r="D1378" s="3">
        <v>6</v>
      </c>
      <c r="E1378" s="4">
        <v>700</v>
      </c>
      <c r="F1378" s="5" t="s">
        <v>10</v>
      </c>
      <c r="G1378" s="5" t="s">
        <v>390</v>
      </c>
      <c r="H1378" s="1">
        <f t="shared" si="43"/>
        <v>4200</v>
      </c>
    </row>
    <row r="1379" spans="1:8" x14ac:dyDescent="0.3">
      <c r="A1379" s="2" t="str">
        <f t="shared" si="42"/>
        <v>Nov-2024</v>
      </c>
      <c r="B1379" s="2">
        <v>45597.587058043981</v>
      </c>
      <c r="C1379" s="5" t="s">
        <v>26</v>
      </c>
      <c r="D1379" s="3">
        <v>4</v>
      </c>
      <c r="E1379" s="4">
        <v>3500</v>
      </c>
      <c r="F1379" s="5" t="s">
        <v>7</v>
      </c>
      <c r="G1379" s="5" t="s">
        <v>487</v>
      </c>
      <c r="H1379" s="1">
        <f t="shared" si="43"/>
        <v>14000</v>
      </c>
    </row>
    <row r="1380" spans="1:8" x14ac:dyDescent="0.3">
      <c r="A1380" s="2" t="str">
        <f t="shared" si="42"/>
        <v>Nov-2024</v>
      </c>
      <c r="B1380" s="2">
        <v>45598.074049363429</v>
      </c>
      <c r="C1380" s="5" t="s">
        <v>6</v>
      </c>
      <c r="D1380" s="3">
        <v>1</v>
      </c>
      <c r="E1380" s="4">
        <v>1200</v>
      </c>
      <c r="F1380" s="5" t="s">
        <v>10</v>
      </c>
      <c r="G1380" s="5" t="s">
        <v>201</v>
      </c>
      <c r="H1380" s="1">
        <f t="shared" si="43"/>
        <v>1200</v>
      </c>
    </row>
    <row r="1381" spans="1:8" x14ac:dyDescent="0.3">
      <c r="A1381" s="2" t="str">
        <f t="shared" si="42"/>
        <v>Nov-2024</v>
      </c>
      <c r="B1381" s="2">
        <v>45598.561040694447</v>
      </c>
      <c r="C1381" s="5" t="s">
        <v>36</v>
      </c>
      <c r="D1381" s="3">
        <v>6</v>
      </c>
      <c r="E1381" s="4">
        <v>3500</v>
      </c>
      <c r="F1381" s="5" t="s">
        <v>24</v>
      </c>
      <c r="G1381" s="5" t="s">
        <v>66</v>
      </c>
      <c r="H1381" s="1">
        <f t="shared" si="43"/>
        <v>21000</v>
      </c>
    </row>
    <row r="1382" spans="1:8" x14ac:dyDescent="0.3">
      <c r="A1382" s="2" t="str">
        <f t="shared" si="42"/>
        <v>Nov-2024</v>
      </c>
      <c r="B1382" s="2">
        <v>45599.048032025465</v>
      </c>
      <c r="C1382" s="5" t="s">
        <v>17</v>
      </c>
      <c r="D1382" s="3">
        <v>6</v>
      </c>
      <c r="E1382" s="4">
        <v>150</v>
      </c>
      <c r="F1382" s="5" t="s">
        <v>10</v>
      </c>
      <c r="G1382" s="5" t="s">
        <v>246</v>
      </c>
      <c r="H1382" s="1">
        <f t="shared" si="43"/>
        <v>900</v>
      </c>
    </row>
    <row r="1383" spans="1:8" x14ac:dyDescent="0.3">
      <c r="A1383" s="2" t="str">
        <f t="shared" si="42"/>
        <v>Nov-2024</v>
      </c>
      <c r="B1383" s="2">
        <v>45599.535023344906</v>
      </c>
      <c r="C1383" s="5" t="s">
        <v>26</v>
      </c>
      <c r="D1383" s="3">
        <v>1</v>
      </c>
      <c r="E1383" s="4">
        <v>700</v>
      </c>
      <c r="F1383" s="5" t="s">
        <v>13</v>
      </c>
      <c r="G1383" s="5" t="s">
        <v>227</v>
      </c>
      <c r="H1383" s="1">
        <f t="shared" si="43"/>
        <v>700</v>
      </c>
    </row>
    <row r="1384" spans="1:8" x14ac:dyDescent="0.3">
      <c r="A1384" s="2" t="str">
        <f t="shared" si="42"/>
        <v>Nov-2024</v>
      </c>
      <c r="B1384" s="2">
        <v>45600.022014675924</v>
      </c>
      <c r="C1384" s="5" t="s">
        <v>12</v>
      </c>
      <c r="D1384" s="3">
        <v>2</v>
      </c>
      <c r="E1384" s="4">
        <v>1200</v>
      </c>
      <c r="F1384" s="5" t="s">
        <v>7</v>
      </c>
      <c r="G1384" s="5" t="s">
        <v>250</v>
      </c>
      <c r="H1384" s="1">
        <f t="shared" si="43"/>
        <v>2400</v>
      </c>
    </row>
    <row r="1385" spans="1:8" x14ac:dyDescent="0.3">
      <c r="A1385" s="2" t="str">
        <f t="shared" si="42"/>
        <v>Nov-2024</v>
      </c>
      <c r="B1385" s="2">
        <v>45600.509006006941</v>
      </c>
      <c r="C1385" s="5" t="s">
        <v>26</v>
      </c>
      <c r="D1385" s="3">
        <v>5</v>
      </c>
      <c r="E1385" s="4">
        <v>450</v>
      </c>
      <c r="F1385" s="5" t="s">
        <v>10</v>
      </c>
      <c r="G1385" s="5" t="s">
        <v>158</v>
      </c>
      <c r="H1385" s="1">
        <f t="shared" si="43"/>
        <v>2250</v>
      </c>
    </row>
    <row r="1386" spans="1:8" x14ac:dyDescent="0.3">
      <c r="A1386" s="2" t="str">
        <f t="shared" si="42"/>
        <v>Nov-2024</v>
      </c>
      <c r="B1386" s="2">
        <v>45600.99599732639</v>
      </c>
      <c r="C1386" s="5" t="s">
        <v>36</v>
      </c>
      <c r="D1386" s="3">
        <v>1</v>
      </c>
      <c r="E1386" s="4">
        <v>700</v>
      </c>
      <c r="F1386" s="5" t="s">
        <v>13</v>
      </c>
      <c r="G1386" s="5" t="s">
        <v>190</v>
      </c>
      <c r="H1386" s="1">
        <f t="shared" si="43"/>
        <v>700</v>
      </c>
    </row>
    <row r="1387" spans="1:8" x14ac:dyDescent="0.3">
      <c r="A1387" s="2" t="str">
        <f t="shared" si="42"/>
        <v>Nov-2024</v>
      </c>
      <c r="B1387" s="2">
        <v>45601.482988657408</v>
      </c>
      <c r="C1387" s="5" t="s">
        <v>17</v>
      </c>
      <c r="D1387" s="3">
        <v>4</v>
      </c>
      <c r="E1387" s="4">
        <v>1800</v>
      </c>
      <c r="F1387" s="5" t="s">
        <v>7</v>
      </c>
      <c r="G1387" s="5" t="s">
        <v>196</v>
      </c>
      <c r="H1387" s="1">
        <f t="shared" si="43"/>
        <v>7200</v>
      </c>
    </row>
    <row r="1388" spans="1:8" x14ac:dyDescent="0.3">
      <c r="A1388" s="2" t="str">
        <f t="shared" si="42"/>
        <v>Nov-2024</v>
      </c>
      <c r="B1388" s="2">
        <v>45601.969979988426</v>
      </c>
      <c r="C1388" s="5" t="s">
        <v>12</v>
      </c>
      <c r="D1388" s="3">
        <v>3</v>
      </c>
      <c r="E1388" s="4">
        <v>150</v>
      </c>
      <c r="F1388" s="5" t="s">
        <v>13</v>
      </c>
      <c r="G1388" s="5" t="s">
        <v>139</v>
      </c>
      <c r="H1388" s="1">
        <f t="shared" si="43"/>
        <v>450</v>
      </c>
    </row>
    <row r="1389" spans="1:8" x14ac:dyDescent="0.3">
      <c r="A1389" s="2" t="str">
        <f t="shared" si="42"/>
        <v>Nov-2024</v>
      </c>
      <c r="B1389" s="2">
        <v>45602.456971319443</v>
      </c>
      <c r="C1389" s="5" t="s">
        <v>36</v>
      </c>
      <c r="D1389" s="3">
        <v>3</v>
      </c>
      <c r="E1389" s="4">
        <v>700</v>
      </c>
      <c r="F1389" s="5" t="s">
        <v>7</v>
      </c>
      <c r="G1389" s="5" t="s">
        <v>47</v>
      </c>
      <c r="H1389" s="1">
        <f t="shared" si="43"/>
        <v>2100</v>
      </c>
    </row>
    <row r="1390" spans="1:8" x14ac:dyDescent="0.3">
      <c r="A1390" s="2" t="str">
        <f t="shared" si="42"/>
        <v>Nov-2024</v>
      </c>
      <c r="B1390" s="2">
        <v>45602.943962638892</v>
      </c>
      <c r="C1390" s="5" t="s">
        <v>26</v>
      </c>
      <c r="D1390" s="3">
        <v>6</v>
      </c>
      <c r="E1390" s="4">
        <v>700</v>
      </c>
      <c r="F1390" s="5" t="s">
        <v>10</v>
      </c>
      <c r="G1390" s="5" t="s">
        <v>354</v>
      </c>
      <c r="H1390" s="1">
        <f t="shared" si="43"/>
        <v>4200</v>
      </c>
    </row>
    <row r="1391" spans="1:8" x14ac:dyDescent="0.3">
      <c r="A1391" s="2" t="str">
        <f t="shared" si="42"/>
        <v>Nov-2024</v>
      </c>
      <c r="B1391" s="2">
        <v>45603.43095396991</v>
      </c>
      <c r="C1391" s="5" t="s">
        <v>36</v>
      </c>
      <c r="D1391" s="3">
        <v>3</v>
      </c>
      <c r="E1391" s="4">
        <v>1800</v>
      </c>
      <c r="F1391" s="5" t="s">
        <v>13</v>
      </c>
      <c r="G1391" s="5" t="s">
        <v>52</v>
      </c>
      <c r="H1391" s="1">
        <f t="shared" si="43"/>
        <v>5400</v>
      </c>
    </row>
    <row r="1392" spans="1:8" x14ac:dyDescent="0.3">
      <c r="A1392" s="2" t="str">
        <f t="shared" si="42"/>
        <v>Nov-2024</v>
      </c>
      <c r="B1392" s="2">
        <v>45603.917945300927</v>
      </c>
      <c r="C1392" s="5" t="s">
        <v>17</v>
      </c>
      <c r="D1392" s="3">
        <v>5</v>
      </c>
      <c r="E1392" s="4">
        <v>1200</v>
      </c>
      <c r="F1392" s="5" t="s">
        <v>24</v>
      </c>
      <c r="G1392" s="5" t="s">
        <v>370</v>
      </c>
      <c r="H1392" s="1">
        <f t="shared" si="43"/>
        <v>6000</v>
      </c>
    </row>
    <row r="1393" spans="1:8" x14ac:dyDescent="0.3">
      <c r="A1393" s="2" t="str">
        <f t="shared" si="42"/>
        <v>Nov-2024</v>
      </c>
      <c r="B1393" s="2">
        <v>45604.404936620369</v>
      </c>
      <c r="C1393" s="5" t="s">
        <v>9</v>
      </c>
      <c r="D1393" s="3">
        <v>2</v>
      </c>
      <c r="E1393" s="4">
        <v>450</v>
      </c>
      <c r="F1393" s="5" t="s">
        <v>13</v>
      </c>
      <c r="G1393" s="5" t="s">
        <v>40</v>
      </c>
      <c r="H1393" s="1">
        <f t="shared" si="43"/>
        <v>900</v>
      </c>
    </row>
    <row r="1394" spans="1:8" x14ac:dyDescent="0.3">
      <c r="A1394" s="2" t="str">
        <f t="shared" si="42"/>
        <v>Nov-2024</v>
      </c>
      <c r="B1394" s="2">
        <v>45604.891927951387</v>
      </c>
      <c r="C1394" s="5" t="s">
        <v>36</v>
      </c>
      <c r="D1394" s="3">
        <v>4</v>
      </c>
      <c r="E1394" s="4">
        <v>1800</v>
      </c>
      <c r="F1394" s="5" t="s">
        <v>7</v>
      </c>
      <c r="G1394" s="5" t="s">
        <v>370</v>
      </c>
      <c r="H1394" s="1">
        <f t="shared" si="43"/>
        <v>7200</v>
      </c>
    </row>
    <row r="1395" spans="1:8" x14ac:dyDescent="0.3">
      <c r="A1395" s="2" t="str">
        <f t="shared" si="42"/>
        <v>Nov-2024</v>
      </c>
      <c r="B1395" s="2">
        <v>45605.378919282404</v>
      </c>
      <c r="C1395" s="5" t="s">
        <v>36</v>
      </c>
      <c r="D1395" s="3">
        <v>5</v>
      </c>
      <c r="E1395" s="4">
        <v>450</v>
      </c>
      <c r="F1395" s="5" t="s">
        <v>10</v>
      </c>
      <c r="G1395" s="5" t="s">
        <v>88</v>
      </c>
      <c r="H1395" s="1">
        <f t="shared" si="43"/>
        <v>2250</v>
      </c>
    </row>
    <row r="1396" spans="1:8" x14ac:dyDescent="0.3">
      <c r="A1396" s="2" t="str">
        <f t="shared" si="42"/>
        <v>Nov-2024</v>
      </c>
      <c r="B1396" s="2">
        <v>45605.865910601853</v>
      </c>
      <c r="C1396" s="5" t="s">
        <v>26</v>
      </c>
      <c r="D1396" s="3">
        <v>4</v>
      </c>
      <c r="E1396" s="4">
        <v>1200</v>
      </c>
      <c r="F1396" s="5" t="s">
        <v>7</v>
      </c>
      <c r="G1396" s="5" t="s">
        <v>260</v>
      </c>
      <c r="H1396" s="1">
        <f t="shared" si="43"/>
        <v>4800</v>
      </c>
    </row>
    <row r="1397" spans="1:8" x14ac:dyDescent="0.3">
      <c r="A1397" s="2" t="str">
        <f t="shared" si="42"/>
        <v>Nov-2024</v>
      </c>
      <c r="B1397" s="2">
        <v>45606.352901932871</v>
      </c>
      <c r="C1397" s="5" t="s">
        <v>26</v>
      </c>
      <c r="D1397" s="3">
        <v>4</v>
      </c>
      <c r="E1397" s="4">
        <v>700</v>
      </c>
      <c r="F1397" s="5" t="s">
        <v>13</v>
      </c>
      <c r="G1397" s="5" t="s">
        <v>490</v>
      </c>
      <c r="H1397" s="1">
        <f t="shared" si="43"/>
        <v>2800</v>
      </c>
    </row>
    <row r="1398" spans="1:8" x14ac:dyDescent="0.3">
      <c r="A1398" s="2" t="str">
        <f t="shared" si="42"/>
        <v>Nov-2024</v>
      </c>
      <c r="B1398" s="2">
        <v>45606.839893263888</v>
      </c>
      <c r="C1398" s="5" t="s">
        <v>12</v>
      </c>
      <c r="D1398" s="3">
        <v>2</v>
      </c>
      <c r="E1398" s="4">
        <v>450</v>
      </c>
      <c r="F1398" s="5" t="s">
        <v>13</v>
      </c>
      <c r="G1398" s="5" t="s">
        <v>33</v>
      </c>
      <c r="H1398" s="1">
        <f t="shared" si="43"/>
        <v>900</v>
      </c>
    </row>
    <row r="1399" spans="1:8" x14ac:dyDescent="0.3">
      <c r="A1399" s="2" t="str">
        <f t="shared" si="42"/>
        <v>Nov-2024</v>
      </c>
      <c r="B1399" s="2">
        <v>45607.326884594906</v>
      </c>
      <c r="C1399" s="5" t="s">
        <v>26</v>
      </c>
      <c r="D1399" s="3">
        <v>6</v>
      </c>
      <c r="E1399" s="4">
        <v>150</v>
      </c>
      <c r="F1399" s="5" t="s">
        <v>24</v>
      </c>
      <c r="G1399" s="5" t="s">
        <v>73</v>
      </c>
      <c r="H1399" s="1">
        <f t="shared" si="43"/>
        <v>900</v>
      </c>
    </row>
    <row r="1400" spans="1:8" x14ac:dyDescent="0.3">
      <c r="A1400" s="2" t="str">
        <f t="shared" si="42"/>
        <v>Nov-2024</v>
      </c>
      <c r="B1400" s="2">
        <v>45607.813875914355</v>
      </c>
      <c r="C1400" s="5" t="s">
        <v>6</v>
      </c>
      <c r="D1400" s="3">
        <v>3</v>
      </c>
      <c r="E1400" s="4">
        <v>150</v>
      </c>
      <c r="F1400" s="5" t="s">
        <v>10</v>
      </c>
      <c r="G1400" s="5" t="s">
        <v>356</v>
      </c>
      <c r="H1400" s="1">
        <f t="shared" si="43"/>
        <v>450</v>
      </c>
    </row>
    <row r="1401" spans="1:8" x14ac:dyDescent="0.3">
      <c r="A1401" s="2" t="str">
        <f t="shared" si="42"/>
        <v>Nov-2024</v>
      </c>
      <c r="B1401" s="2">
        <v>45608.300867245373</v>
      </c>
      <c r="C1401" s="5" t="s">
        <v>17</v>
      </c>
      <c r="D1401" s="3">
        <v>2</v>
      </c>
      <c r="E1401" s="4">
        <v>1800</v>
      </c>
      <c r="F1401" s="5" t="s">
        <v>10</v>
      </c>
      <c r="G1401" s="5" t="s">
        <v>42</v>
      </c>
      <c r="H1401" s="1">
        <f t="shared" si="43"/>
        <v>3600</v>
      </c>
    </row>
    <row r="1402" spans="1:8" x14ac:dyDescent="0.3">
      <c r="A1402" s="2" t="str">
        <f t="shared" si="42"/>
        <v>Nov-2024</v>
      </c>
      <c r="B1402" s="2">
        <v>45608.78785857639</v>
      </c>
      <c r="C1402" s="5" t="s">
        <v>17</v>
      </c>
      <c r="D1402" s="3">
        <v>5</v>
      </c>
      <c r="E1402" s="4">
        <v>1200</v>
      </c>
      <c r="F1402" s="5" t="s">
        <v>13</v>
      </c>
      <c r="G1402" s="5" t="s">
        <v>162</v>
      </c>
      <c r="H1402" s="1">
        <f t="shared" si="43"/>
        <v>6000</v>
      </c>
    </row>
    <row r="1403" spans="1:8" x14ac:dyDescent="0.3">
      <c r="A1403" s="2" t="str">
        <f t="shared" si="42"/>
        <v>Nov-2024</v>
      </c>
      <c r="B1403" s="2">
        <v>45609.274849895832</v>
      </c>
      <c r="C1403" s="5" t="s">
        <v>9</v>
      </c>
      <c r="D1403" s="3">
        <v>6</v>
      </c>
      <c r="E1403" s="4">
        <v>1800</v>
      </c>
      <c r="F1403" s="5" t="s">
        <v>10</v>
      </c>
      <c r="G1403" s="5" t="s">
        <v>289</v>
      </c>
      <c r="H1403" s="1">
        <f t="shared" si="43"/>
        <v>10800</v>
      </c>
    </row>
    <row r="1404" spans="1:8" x14ac:dyDescent="0.3">
      <c r="A1404" s="2" t="str">
        <f t="shared" si="42"/>
        <v>Nov-2024</v>
      </c>
      <c r="B1404" s="2">
        <v>45609.761841226849</v>
      </c>
      <c r="C1404" s="5" t="s">
        <v>9</v>
      </c>
      <c r="D1404" s="3">
        <v>5</v>
      </c>
      <c r="E1404" s="4">
        <v>1800</v>
      </c>
      <c r="F1404" s="5" t="s">
        <v>24</v>
      </c>
      <c r="G1404" s="5" t="s">
        <v>491</v>
      </c>
      <c r="H1404" s="1">
        <f t="shared" si="43"/>
        <v>9000</v>
      </c>
    </row>
    <row r="1405" spans="1:8" x14ac:dyDescent="0.3">
      <c r="A1405" s="2" t="str">
        <f t="shared" si="42"/>
        <v>Nov-2024</v>
      </c>
      <c r="B1405" s="2">
        <v>45610.248832557867</v>
      </c>
      <c r="C1405" s="5" t="s">
        <v>17</v>
      </c>
      <c r="D1405" s="3">
        <v>6</v>
      </c>
      <c r="E1405" s="4">
        <v>3500</v>
      </c>
      <c r="F1405" s="5" t="s">
        <v>7</v>
      </c>
      <c r="G1405" s="5" t="s">
        <v>169</v>
      </c>
      <c r="H1405" s="1">
        <f t="shared" si="43"/>
        <v>21000</v>
      </c>
    </row>
    <row r="1406" spans="1:8" x14ac:dyDescent="0.3">
      <c r="A1406" s="2" t="str">
        <f t="shared" si="42"/>
        <v>Nov-2024</v>
      </c>
      <c r="B1406" s="2">
        <v>45610.735823877316</v>
      </c>
      <c r="C1406" s="5" t="s">
        <v>9</v>
      </c>
      <c r="D1406" s="3">
        <v>5</v>
      </c>
      <c r="E1406" s="4">
        <v>1800</v>
      </c>
      <c r="F1406" s="5" t="s">
        <v>10</v>
      </c>
      <c r="G1406" s="5" t="s">
        <v>171</v>
      </c>
      <c r="H1406" s="1">
        <f t="shared" si="43"/>
        <v>9000</v>
      </c>
    </row>
    <row r="1407" spans="1:8" x14ac:dyDescent="0.3">
      <c r="A1407" s="2" t="str">
        <f t="shared" si="42"/>
        <v>Nov-2024</v>
      </c>
      <c r="B1407" s="2">
        <v>45611.222815208333</v>
      </c>
      <c r="C1407" s="5" t="s">
        <v>12</v>
      </c>
      <c r="D1407" s="3">
        <v>2</v>
      </c>
      <c r="E1407" s="4">
        <v>3500</v>
      </c>
      <c r="F1407" s="5" t="s">
        <v>13</v>
      </c>
      <c r="G1407" s="5" t="s">
        <v>166</v>
      </c>
      <c r="H1407" s="1">
        <f t="shared" si="43"/>
        <v>7000</v>
      </c>
    </row>
    <row r="1408" spans="1:8" x14ac:dyDescent="0.3">
      <c r="A1408" s="2" t="str">
        <f t="shared" si="42"/>
        <v>Nov-2024</v>
      </c>
      <c r="B1408" s="2">
        <v>45611.709806539351</v>
      </c>
      <c r="C1408" s="5" t="s">
        <v>26</v>
      </c>
      <c r="D1408" s="3">
        <v>6</v>
      </c>
      <c r="E1408" s="4">
        <v>150</v>
      </c>
      <c r="F1408" s="5" t="s">
        <v>7</v>
      </c>
      <c r="G1408" s="5" t="s">
        <v>131</v>
      </c>
      <c r="H1408" s="1">
        <f t="shared" si="43"/>
        <v>900</v>
      </c>
    </row>
    <row r="1409" spans="1:8" x14ac:dyDescent="0.3">
      <c r="A1409" s="2" t="str">
        <f t="shared" si="42"/>
        <v>Nov-2024</v>
      </c>
      <c r="B1409" s="2">
        <v>45612.196797870369</v>
      </c>
      <c r="C1409" s="5" t="s">
        <v>17</v>
      </c>
      <c r="D1409" s="3">
        <v>6</v>
      </c>
      <c r="E1409" s="4">
        <v>150</v>
      </c>
      <c r="F1409" s="5" t="s">
        <v>7</v>
      </c>
      <c r="G1409" s="5" t="s">
        <v>380</v>
      </c>
      <c r="H1409" s="1">
        <f t="shared" si="43"/>
        <v>900</v>
      </c>
    </row>
    <row r="1410" spans="1:8" x14ac:dyDescent="0.3">
      <c r="A1410" s="2" t="str">
        <f t="shared" si="42"/>
        <v>Nov-2024</v>
      </c>
      <c r="B1410" s="2">
        <v>45612.683789189818</v>
      </c>
      <c r="C1410" s="5" t="s">
        <v>9</v>
      </c>
      <c r="D1410" s="3">
        <v>4</v>
      </c>
      <c r="E1410" s="4">
        <v>1800</v>
      </c>
      <c r="F1410" s="5" t="s">
        <v>24</v>
      </c>
      <c r="G1410" s="5" t="s">
        <v>461</v>
      </c>
      <c r="H1410" s="1">
        <f t="shared" si="43"/>
        <v>7200</v>
      </c>
    </row>
    <row r="1411" spans="1:8" x14ac:dyDescent="0.3">
      <c r="A1411" s="2" t="str">
        <f t="shared" ref="A1411:A1474" si="44">TEXT(B1411, "mmm-yyyy")</f>
        <v>Nov-2024</v>
      </c>
      <c r="B1411" s="2">
        <v>45613.170780520835</v>
      </c>
      <c r="C1411" s="5" t="s">
        <v>17</v>
      </c>
      <c r="D1411" s="3">
        <v>4</v>
      </c>
      <c r="E1411" s="4">
        <v>150</v>
      </c>
      <c r="F1411" s="5" t="s">
        <v>13</v>
      </c>
      <c r="G1411" s="5" t="s">
        <v>250</v>
      </c>
      <c r="H1411" s="1">
        <f t="shared" ref="H1411:H1474" si="45" xml:space="preserve"> D1411 * E1411</f>
        <v>600</v>
      </c>
    </row>
    <row r="1412" spans="1:8" x14ac:dyDescent="0.3">
      <c r="A1412" s="2" t="str">
        <f t="shared" si="44"/>
        <v>Nov-2024</v>
      </c>
      <c r="B1412" s="2">
        <v>45613.657771851853</v>
      </c>
      <c r="C1412" s="5" t="s">
        <v>6</v>
      </c>
      <c r="D1412" s="3">
        <v>1</v>
      </c>
      <c r="E1412" s="4">
        <v>1200</v>
      </c>
      <c r="F1412" s="5" t="s">
        <v>10</v>
      </c>
      <c r="G1412" s="5" t="s">
        <v>455</v>
      </c>
      <c r="H1412" s="1">
        <f t="shared" si="45"/>
        <v>1200</v>
      </c>
    </row>
    <row r="1413" spans="1:8" x14ac:dyDescent="0.3">
      <c r="A1413" s="2" t="str">
        <f t="shared" si="44"/>
        <v>Nov-2024</v>
      </c>
      <c r="B1413" s="2">
        <v>45614.144763171294</v>
      </c>
      <c r="C1413" s="5" t="s">
        <v>36</v>
      </c>
      <c r="D1413" s="3">
        <v>5</v>
      </c>
      <c r="E1413" s="4">
        <v>3500</v>
      </c>
      <c r="F1413" s="5" t="s">
        <v>13</v>
      </c>
      <c r="G1413" s="5" t="s">
        <v>208</v>
      </c>
      <c r="H1413" s="1">
        <f t="shared" si="45"/>
        <v>17500</v>
      </c>
    </row>
    <row r="1414" spans="1:8" x14ac:dyDescent="0.3">
      <c r="A1414" s="2" t="str">
        <f t="shared" si="44"/>
        <v>Nov-2024</v>
      </c>
      <c r="B1414" s="2">
        <v>45614.631754502312</v>
      </c>
      <c r="C1414" s="5" t="s">
        <v>26</v>
      </c>
      <c r="D1414" s="3">
        <v>4</v>
      </c>
      <c r="E1414" s="4">
        <v>3500</v>
      </c>
      <c r="F1414" s="5" t="s">
        <v>7</v>
      </c>
      <c r="G1414" s="5" t="s">
        <v>15</v>
      </c>
      <c r="H1414" s="1">
        <f t="shared" si="45"/>
        <v>14000</v>
      </c>
    </row>
    <row r="1415" spans="1:8" x14ac:dyDescent="0.3">
      <c r="A1415" s="2" t="str">
        <f t="shared" si="44"/>
        <v>Nov-2024</v>
      </c>
      <c r="B1415" s="2">
        <v>45615.11874583333</v>
      </c>
      <c r="C1415" s="5" t="s">
        <v>17</v>
      </c>
      <c r="D1415" s="3">
        <v>1</v>
      </c>
      <c r="E1415" s="4">
        <v>1800</v>
      </c>
      <c r="F1415" s="5" t="s">
        <v>13</v>
      </c>
      <c r="G1415" s="5" t="s">
        <v>192</v>
      </c>
      <c r="H1415" s="1">
        <f t="shared" si="45"/>
        <v>1800</v>
      </c>
    </row>
    <row r="1416" spans="1:8" x14ac:dyDescent="0.3">
      <c r="A1416" s="2" t="str">
        <f t="shared" si="44"/>
        <v>Nov-2024</v>
      </c>
      <c r="B1416" s="2">
        <v>45615.605737152779</v>
      </c>
      <c r="C1416" s="5" t="s">
        <v>36</v>
      </c>
      <c r="D1416" s="3">
        <v>4</v>
      </c>
      <c r="E1416" s="4">
        <v>150</v>
      </c>
      <c r="F1416" s="5" t="s">
        <v>10</v>
      </c>
      <c r="G1416" s="5" t="s">
        <v>364</v>
      </c>
      <c r="H1416" s="1">
        <f t="shared" si="45"/>
        <v>600</v>
      </c>
    </row>
    <row r="1417" spans="1:8" x14ac:dyDescent="0.3">
      <c r="A1417" s="2" t="str">
        <f t="shared" si="44"/>
        <v>Nov-2024</v>
      </c>
      <c r="B1417" s="2">
        <v>45616.092728483796</v>
      </c>
      <c r="C1417" s="5" t="s">
        <v>9</v>
      </c>
      <c r="D1417" s="3">
        <v>5</v>
      </c>
      <c r="E1417" s="4">
        <v>450</v>
      </c>
      <c r="F1417" s="5" t="s">
        <v>10</v>
      </c>
      <c r="G1417" s="5" t="s">
        <v>251</v>
      </c>
      <c r="H1417" s="1">
        <f t="shared" si="45"/>
        <v>2250</v>
      </c>
    </row>
    <row r="1418" spans="1:8" x14ac:dyDescent="0.3">
      <c r="A1418" s="2" t="str">
        <f t="shared" si="44"/>
        <v>Nov-2024</v>
      </c>
      <c r="B1418" s="2">
        <v>45616.579719814814</v>
      </c>
      <c r="C1418" s="5" t="s">
        <v>36</v>
      </c>
      <c r="D1418" s="3">
        <v>6</v>
      </c>
      <c r="E1418" s="4">
        <v>3500</v>
      </c>
      <c r="F1418" s="5" t="s">
        <v>24</v>
      </c>
      <c r="G1418" s="5" t="s">
        <v>432</v>
      </c>
      <c r="H1418" s="1">
        <f t="shared" si="45"/>
        <v>21000</v>
      </c>
    </row>
    <row r="1419" spans="1:8" x14ac:dyDescent="0.3">
      <c r="A1419" s="2" t="str">
        <f t="shared" si="44"/>
        <v>Nov-2024</v>
      </c>
      <c r="B1419" s="2">
        <v>45617.066711145832</v>
      </c>
      <c r="C1419" s="5" t="s">
        <v>26</v>
      </c>
      <c r="D1419" s="3">
        <v>3</v>
      </c>
      <c r="E1419" s="4">
        <v>1800</v>
      </c>
      <c r="F1419" s="5" t="s">
        <v>10</v>
      </c>
      <c r="G1419" s="5" t="s">
        <v>416</v>
      </c>
      <c r="H1419" s="1">
        <f t="shared" si="45"/>
        <v>5400</v>
      </c>
    </row>
    <row r="1420" spans="1:8" x14ac:dyDescent="0.3">
      <c r="A1420" s="2" t="str">
        <f t="shared" si="44"/>
        <v>Nov-2024</v>
      </c>
      <c r="B1420" s="2">
        <v>45617.55370246528</v>
      </c>
      <c r="C1420" s="5" t="s">
        <v>17</v>
      </c>
      <c r="D1420" s="3">
        <v>5</v>
      </c>
      <c r="E1420" s="4">
        <v>1800</v>
      </c>
      <c r="F1420" s="5" t="s">
        <v>10</v>
      </c>
      <c r="G1420" s="5" t="s">
        <v>296</v>
      </c>
      <c r="H1420" s="1">
        <f t="shared" si="45"/>
        <v>9000</v>
      </c>
    </row>
    <row r="1421" spans="1:8" x14ac:dyDescent="0.3">
      <c r="A1421" s="2" t="str">
        <f t="shared" si="44"/>
        <v>Nov-2024</v>
      </c>
      <c r="B1421" s="2">
        <v>45618.040693796298</v>
      </c>
      <c r="C1421" s="5" t="s">
        <v>6</v>
      </c>
      <c r="D1421" s="3">
        <v>2</v>
      </c>
      <c r="E1421" s="4">
        <v>1200</v>
      </c>
      <c r="F1421" s="5" t="s">
        <v>13</v>
      </c>
      <c r="G1421" s="5" t="s">
        <v>286</v>
      </c>
      <c r="H1421" s="1">
        <f t="shared" si="45"/>
        <v>2400</v>
      </c>
    </row>
    <row r="1422" spans="1:8" x14ac:dyDescent="0.3">
      <c r="A1422" s="2" t="str">
        <f t="shared" si="44"/>
        <v>Nov-2024</v>
      </c>
      <c r="B1422" s="2">
        <v>45618.527685127316</v>
      </c>
      <c r="C1422" s="5" t="s">
        <v>9</v>
      </c>
      <c r="D1422" s="3">
        <v>4</v>
      </c>
      <c r="E1422" s="4">
        <v>700</v>
      </c>
      <c r="F1422" s="5" t="s">
        <v>13</v>
      </c>
      <c r="G1422" s="5" t="s">
        <v>453</v>
      </c>
      <c r="H1422" s="1">
        <f t="shared" si="45"/>
        <v>2800</v>
      </c>
    </row>
    <row r="1423" spans="1:8" x14ac:dyDescent="0.3">
      <c r="A1423" s="2" t="str">
        <f t="shared" si="44"/>
        <v>Nov-2024</v>
      </c>
      <c r="B1423" s="2">
        <v>45619.014676446757</v>
      </c>
      <c r="C1423" s="5" t="s">
        <v>17</v>
      </c>
      <c r="D1423" s="3">
        <v>4</v>
      </c>
      <c r="E1423" s="4">
        <v>700</v>
      </c>
      <c r="F1423" s="5" t="s">
        <v>7</v>
      </c>
      <c r="G1423" s="5" t="s">
        <v>362</v>
      </c>
      <c r="H1423" s="1">
        <f t="shared" si="45"/>
        <v>2800</v>
      </c>
    </row>
    <row r="1424" spans="1:8" x14ac:dyDescent="0.3">
      <c r="A1424" s="2" t="str">
        <f t="shared" si="44"/>
        <v>Nov-2024</v>
      </c>
      <c r="B1424" s="2">
        <v>45619.501667777775</v>
      </c>
      <c r="C1424" s="5" t="s">
        <v>26</v>
      </c>
      <c r="D1424" s="3">
        <v>6</v>
      </c>
      <c r="E1424" s="4">
        <v>3500</v>
      </c>
      <c r="F1424" s="5" t="s">
        <v>24</v>
      </c>
      <c r="G1424" s="5" t="s">
        <v>44</v>
      </c>
      <c r="H1424" s="1">
        <f t="shared" si="45"/>
        <v>21000</v>
      </c>
    </row>
    <row r="1425" spans="1:8" x14ac:dyDescent="0.3">
      <c r="A1425" s="2" t="str">
        <f t="shared" si="44"/>
        <v>Nov-2024</v>
      </c>
      <c r="B1425" s="2">
        <v>45619.9886591088</v>
      </c>
      <c r="C1425" s="5" t="s">
        <v>9</v>
      </c>
      <c r="D1425" s="3">
        <v>2</v>
      </c>
      <c r="E1425" s="4">
        <v>1200</v>
      </c>
      <c r="F1425" s="5" t="s">
        <v>13</v>
      </c>
      <c r="G1425" s="5" t="s">
        <v>96</v>
      </c>
      <c r="H1425" s="1">
        <f t="shared" si="45"/>
        <v>2400</v>
      </c>
    </row>
    <row r="1426" spans="1:8" x14ac:dyDescent="0.3">
      <c r="A1426" s="2" t="str">
        <f t="shared" si="44"/>
        <v>Nov-2024</v>
      </c>
      <c r="B1426" s="2">
        <v>45620.475650428241</v>
      </c>
      <c r="C1426" s="5" t="s">
        <v>12</v>
      </c>
      <c r="D1426" s="3">
        <v>6</v>
      </c>
      <c r="E1426" s="4">
        <v>1200</v>
      </c>
      <c r="F1426" s="5" t="s">
        <v>10</v>
      </c>
      <c r="G1426" s="5" t="s">
        <v>121</v>
      </c>
      <c r="H1426" s="1">
        <f t="shared" si="45"/>
        <v>7200</v>
      </c>
    </row>
    <row r="1427" spans="1:8" x14ac:dyDescent="0.3">
      <c r="A1427" s="2" t="str">
        <f t="shared" si="44"/>
        <v>Nov-2024</v>
      </c>
      <c r="B1427" s="2">
        <v>45620.962641759259</v>
      </c>
      <c r="C1427" s="5" t="s">
        <v>36</v>
      </c>
      <c r="D1427" s="3">
        <v>2</v>
      </c>
      <c r="E1427" s="4">
        <v>1200</v>
      </c>
      <c r="F1427" s="5" t="s">
        <v>7</v>
      </c>
      <c r="G1427" s="5" t="s">
        <v>269</v>
      </c>
      <c r="H1427" s="1">
        <f t="shared" si="45"/>
        <v>2400</v>
      </c>
    </row>
    <row r="1428" spans="1:8" x14ac:dyDescent="0.3">
      <c r="A1428" s="2" t="str">
        <f t="shared" si="44"/>
        <v>Nov-2024</v>
      </c>
      <c r="B1428" s="2">
        <v>45621.449633090277</v>
      </c>
      <c r="C1428" s="5" t="s">
        <v>26</v>
      </c>
      <c r="D1428" s="3">
        <v>3</v>
      </c>
      <c r="E1428" s="4">
        <v>3500</v>
      </c>
      <c r="F1428" s="5" t="s">
        <v>13</v>
      </c>
      <c r="G1428" s="5" t="s">
        <v>350</v>
      </c>
      <c r="H1428" s="1">
        <f t="shared" si="45"/>
        <v>10500</v>
      </c>
    </row>
    <row r="1429" spans="1:8" x14ac:dyDescent="0.3">
      <c r="A1429" s="2" t="str">
        <f t="shared" si="44"/>
        <v>Nov-2024</v>
      </c>
      <c r="B1429" s="2">
        <v>45621.936624421294</v>
      </c>
      <c r="C1429" s="5" t="s">
        <v>12</v>
      </c>
      <c r="D1429" s="3">
        <v>4</v>
      </c>
      <c r="E1429" s="4">
        <v>700</v>
      </c>
      <c r="F1429" s="5" t="s">
        <v>24</v>
      </c>
      <c r="G1429" s="5" t="s">
        <v>370</v>
      </c>
      <c r="H1429" s="1">
        <f t="shared" si="45"/>
        <v>2800</v>
      </c>
    </row>
    <row r="1430" spans="1:8" x14ac:dyDescent="0.3">
      <c r="A1430" s="2" t="str">
        <f t="shared" si="44"/>
        <v>Nov-2024</v>
      </c>
      <c r="B1430" s="2">
        <v>45622.423615740743</v>
      </c>
      <c r="C1430" s="5" t="s">
        <v>17</v>
      </c>
      <c r="D1430" s="3">
        <v>4</v>
      </c>
      <c r="E1430" s="4">
        <v>1200</v>
      </c>
      <c r="F1430" s="5" t="s">
        <v>24</v>
      </c>
      <c r="G1430" s="5" t="s">
        <v>42</v>
      </c>
      <c r="H1430" s="1">
        <f t="shared" si="45"/>
        <v>4800</v>
      </c>
    </row>
    <row r="1431" spans="1:8" x14ac:dyDescent="0.3">
      <c r="A1431" s="2" t="str">
        <f t="shared" si="44"/>
        <v>Nov-2024</v>
      </c>
      <c r="B1431" s="2">
        <v>45622.910607071761</v>
      </c>
      <c r="C1431" s="5" t="s">
        <v>6</v>
      </c>
      <c r="D1431" s="3">
        <v>3</v>
      </c>
      <c r="E1431" s="4">
        <v>150</v>
      </c>
      <c r="F1431" s="5" t="s">
        <v>7</v>
      </c>
      <c r="G1431" s="5" t="s">
        <v>166</v>
      </c>
      <c r="H1431" s="1">
        <f t="shared" si="45"/>
        <v>450</v>
      </c>
    </row>
    <row r="1432" spans="1:8" x14ac:dyDescent="0.3">
      <c r="A1432" s="2" t="str">
        <f t="shared" si="44"/>
        <v>Nov-2024</v>
      </c>
      <c r="B1432" s="2">
        <v>45623.397598402778</v>
      </c>
      <c r="C1432" s="5" t="s">
        <v>9</v>
      </c>
      <c r="D1432" s="3">
        <v>1</v>
      </c>
      <c r="E1432" s="4">
        <v>1800</v>
      </c>
      <c r="F1432" s="5" t="s">
        <v>7</v>
      </c>
      <c r="G1432" s="5" t="s">
        <v>157</v>
      </c>
      <c r="H1432" s="1">
        <f t="shared" si="45"/>
        <v>1800</v>
      </c>
    </row>
    <row r="1433" spans="1:8" x14ac:dyDescent="0.3">
      <c r="A1433" s="2" t="str">
        <f t="shared" si="44"/>
        <v>Nov-2024</v>
      </c>
      <c r="B1433" s="2">
        <v>45623.88458972222</v>
      </c>
      <c r="C1433" s="5" t="s">
        <v>36</v>
      </c>
      <c r="D1433" s="3">
        <v>6</v>
      </c>
      <c r="E1433" s="4">
        <v>1800</v>
      </c>
      <c r="F1433" s="5" t="s">
        <v>7</v>
      </c>
      <c r="G1433" s="5" t="s">
        <v>393</v>
      </c>
      <c r="H1433" s="1">
        <f t="shared" si="45"/>
        <v>10800</v>
      </c>
    </row>
    <row r="1434" spans="1:8" x14ac:dyDescent="0.3">
      <c r="A1434" s="2" t="str">
        <f t="shared" si="44"/>
        <v>Nov-2024</v>
      </c>
      <c r="B1434" s="2">
        <v>45624.371581053238</v>
      </c>
      <c r="C1434" s="5" t="s">
        <v>9</v>
      </c>
      <c r="D1434" s="3">
        <v>3</v>
      </c>
      <c r="E1434" s="4">
        <v>450</v>
      </c>
      <c r="F1434" s="5" t="s">
        <v>7</v>
      </c>
      <c r="G1434" s="5" t="s">
        <v>399</v>
      </c>
      <c r="H1434" s="1">
        <f t="shared" si="45"/>
        <v>1350</v>
      </c>
    </row>
    <row r="1435" spans="1:8" x14ac:dyDescent="0.3">
      <c r="A1435" s="2" t="str">
        <f t="shared" si="44"/>
        <v>Nov-2024</v>
      </c>
      <c r="B1435" s="2">
        <v>45624.858572384263</v>
      </c>
      <c r="C1435" s="5" t="s">
        <v>17</v>
      </c>
      <c r="D1435" s="3">
        <v>6</v>
      </c>
      <c r="E1435" s="4">
        <v>450</v>
      </c>
      <c r="F1435" s="5" t="s">
        <v>7</v>
      </c>
      <c r="G1435" s="5" t="s">
        <v>240</v>
      </c>
      <c r="H1435" s="1">
        <f t="shared" si="45"/>
        <v>2700</v>
      </c>
    </row>
    <row r="1436" spans="1:8" x14ac:dyDescent="0.3">
      <c r="A1436" s="2" t="str">
        <f t="shared" si="44"/>
        <v>Nov-2024</v>
      </c>
      <c r="B1436" s="2">
        <v>45625.345563703704</v>
      </c>
      <c r="C1436" s="5" t="s">
        <v>9</v>
      </c>
      <c r="D1436" s="3">
        <v>5</v>
      </c>
      <c r="E1436" s="4">
        <v>3500</v>
      </c>
      <c r="F1436" s="5" t="s">
        <v>10</v>
      </c>
      <c r="G1436" s="5" t="s">
        <v>492</v>
      </c>
      <c r="H1436" s="1">
        <f t="shared" si="45"/>
        <v>17500</v>
      </c>
    </row>
    <row r="1437" spans="1:8" x14ac:dyDescent="0.3">
      <c r="A1437" s="2" t="str">
        <f t="shared" si="44"/>
        <v>Nov-2024</v>
      </c>
      <c r="B1437" s="2">
        <v>45625.832555034722</v>
      </c>
      <c r="C1437" s="5" t="s">
        <v>36</v>
      </c>
      <c r="D1437" s="3">
        <v>4</v>
      </c>
      <c r="E1437" s="4">
        <v>3500</v>
      </c>
      <c r="F1437" s="5" t="s">
        <v>10</v>
      </c>
      <c r="G1437" s="5" t="s">
        <v>223</v>
      </c>
      <c r="H1437" s="1">
        <f t="shared" si="45"/>
        <v>14000</v>
      </c>
    </row>
    <row r="1438" spans="1:8" x14ac:dyDescent="0.3">
      <c r="A1438" s="2" t="str">
        <f t="shared" si="44"/>
        <v>Nov-2024</v>
      </c>
      <c r="B1438" s="2">
        <v>45626.319546365739</v>
      </c>
      <c r="C1438" s="5" t="s">
        <v>17</v>
      </c>
      <c r="D1438" s="3">
        <v>6</v>
      </c>
      <c r="E1438" s="4">
        <v>1800</v>
      </c>
      <c r="F1438" s="5" t="s">
        <v>13</v>
      </c>
      <c r="G1438" s="5" t="s">
        <v>459</v>
      </c>
      <c r="H1438" s="1">
        <f t="shared" si="45"/>
        <v>10800</v>
      </c>
    </row>
    <row r="1439" spans="1:8" x14ac:dyDescent="0.3">
      <c r="A1439" s="2" t="str">
        <f t="shared" si="44"/>
        <v>Nov-2024</v>
      </c>
      <c r="B1439" s="2">
        <v>45626.806537696757</v>
      </c>
      <c r="C1439" s="5" t="s">
        <v>9</v>
      </c>
      <c r="D1439" s="3">
        <v>2</v>
      </c>
      <c r="E1439" s="4">
        <v>150</v>
      </c>
      <c r="F1439" s="5" t="s">
        <v>24</v>
      </c>
      <c r="G1439" s="5" t="s">
        <v>153</v>
      </c>
      <c r="H1439" s="1">
        <f t="shared" si="45"/>
        <v>300</v>
      </c>
    </row>
    <row r="1440" spans="1:8" x14ac:dyDescent="0.3">
      <c r="A1440" s="2" t="str">
        <f t="shared" si="44"/>
        <v>Dec-2024</v>
      </c>
      <c r="B1440" s="2">
        <v>45627.293529016206</v>
      </c>
      <c r="C1440" s="5" t="s">
        <v>6</v>
      </c>
      <c r="D1440" s="3">
        <v>6</v>
      </c>
      <c r="E1440" s="4">
        <v>700</v>
      </c>
      <c r="F1440" s="5" t="s">
        <v>10</v>
      </c>
      <c r="G1440" s="5" t="s">
        <v>128</v>
      </c>
      <c r="H1440" s="1">
        <f t="shared" si="45"/>
        <v>4200</v>
      </c>
    </row>
    <row r="1441" spans="1:8" x14ac:dyDescent="0.3">
      <c r="A1441" s="2" t="str">
        <f t="shared" si="44"/>
        <v>Dec-2024</v>
      </c>
      <c r="B1441" s="2">
        <v>45627.780520347224</v>
      </c>
      <c r="C1441" s="5" t="s">
        <v>26</v>
      </c>
      <c r="D1441" s="3">
        <v>5</v>
      </c>
      <c r="E1441" s="4">
        <v>700</v>
      </c>
      <c r="F1441" s="5" t="s">
        <v>10</v>
      </c>
      <c r="G1441" s="5" t="s">
        <v>102</v>
      </c>
      <c r="H1441" s="1">
        <f t="shared" si="45"/>
        <v>3500</v>
      </c>
    </row>
    <row r="1442" spans="1:8" x14ac:dyDescent="0.3">
      <c r="A1442" s="2" t="str">
        <f t="shared" si="44"/>
        <v>Dec-2024</v>
      </c>
      <c r="B1442" s="2">
        <v>45628.267511678241</v>
      </c>
      <c r="C1442" s="5" t="s">
        <v>17</v>
      </c>
      <c r="D1442" s="3">
        <v>4</v>
      </c>
      <c r="E1442" s="4">
        <v>3500</v>
      </c>
      <c r="F1442" s="5" t="s">
        <v>10</v>
      </c>
      <c r="G1442" s="5" t="s">
        <v>372</v>
      </c>
      <c r="H1442" s="1">
        <f t="shared" si="45"/>
        <v>14000</v>
      </c>
    </row>
    <row r="1443" spans="1:8" x14ac:dyDescent="0.3">
      <c r="A1443" s="2" t="str">
        <f t="shared" si="44"/>
        <v>Dec-2024</v>
      </c>
      <c r="B1443" s="2">
        <v>45628.754502997683</v>
      </c>
      <c r="C1443" s="5" t="s">
        <v>26</v>
      </c>
      <c r="D1443" s="3">
        <v>3</v>
      </c>
      <c r="E1443" s="4">
        <v>150</v>
      </c>
      <c r="F1443" s="5" t="s">
        <v>13</v>
      </c>
      <c r="G1443" s="5" t="s">
        <v>493</v>
      </c>
      <c r="H1443" s="1">
        <f t="shared" si="45"/>
        <v>450</v>
      </c>
    </row>
    <row r="1444" spans="1:8" x14ac:dyDescent="0.3">
      <c r="A1444" s="2" t="str">
        <f t="shared" si="44"/>
        <v>Dec-2024</v>
      </c>
      <c r="B1444" s="2">
        <v>45629.2414943287</v>
      </c>
      <c r="C1444" s="5" t="s">
        <v>17</v>
      </c>
      <c r="D1444" s="3">
        <v>5</v>
      </c>
      <c r="E1444" s="4">
        <v>3500</v>
      </c>
      <c r="F1444" s="5" t="s">
        <v>7</v>
      </c>
      <c r="G1444" s="5" t="s">
        <v>134</v>
      </c>
      <c r="H1444" s="1">
        <f t="shared" si="45"/>
        <v>17500</v>
      </c>
    </row>
    <row r="1445" spans="1:8" x14ac:dyDescent="0.3">
      <c r="A1445" s="2" t="str">
        <f t="shared" si="44"/>
        <v>Dec-2024</v>
      </c>
      <c r="B1445" s="2">
        <v>45629.728485659725</v>
      </c>
      <c r="C1445" s="5" t="s">
        <v>6</v>
      </c>
      <c r="D1445" s="3">
        <v>4</v>
      </c>
      <c r="E1445" s="4">
        <v>700</v>
      </c>
      <c r="F1445" s="5" t="s">
        <v>13</v>
      </c>
      <c r="G1445" s="5" t="s">
        <v>390</v>
      </c>
      <c r="H1445" s="1">
        <f t="shared" si="45"/>
        <v>2800</v>
      </c>
    </row>
    <row r="1446" spans="1:8" x14ac:dyDescent="0.3">
      <c r="A1446" s="2" t="str">
        <f t="shared" si="44"/>
        <v>Dec-2024</v>
      </c>
      <c r="B1446" s="2">
        <v>45630.215476979167</v>
      </c>
      <c r="C1446" s="5" t="s">
        <v>26</v>
      </c>
      <c r="D1446" s="3">
        <v>6</v>
      </c>
      <c r="E1446" s="4">
        <v>3500</v>
      </c>
      <c r="F1446" s="5" t="s">
        <v>24</v>
      </c>
      <c r="G1446" s="5" t="s">
        <v>179</v>
      </c>
      <c r="H1446" s="1">
        <f t="shared" si="45"/>
        <v>21000</v>
      </c>
    </row>
    <row r="1447" spans="1:8" x14ac:dyDescent="0.3">
      <c r="A1447" s="2" t="str">
        <f t="shared" si="44"/>
        <v>Dec-2024</v>
      </c>
      <c r="B1447" s="2">
        <v>45630.702468310184</v>
      </c>
      <c r="C1447" s="5" t="s">
        <v>12</v>
      </c>
      <c r="D1447" s="3">
        <v>1</v>
      </c>
      <c r="E1447" s="4">
        <v>1200</v>
      </c>
      <c r="F1447" s="5" t="s">
        <v>24</v>
      </c>
      <c r="G1447" s="5" t="s">
        <v>264</v>
      </c>
      <c r="H1447" s="1">
        <f t="shared" si="45"/>
        <v>1200</v>
      </c>
    </row>
    <row r="1448" spans="1:8" x14ac:dyDescent="0.3">
      <c r="A1448" s="2" t="str">
        <f t="shared" si="44"/>
        <v>Dec-2024</v>
      </c>
      <c r="B1448" s="2">
        <v>45631.189459641202</v>
      </c>
      <c r="C1448" s="5" t="s">
        <v>36</v>
      </c>
      <c r="D1448" s="3">
        <v>1</v>
      </c>
      <c r="E1448" s="4">
        <v>3500</v>
      </c>
      <c r="F1448" s="5" t="s">
        <v>24</v>
      </c>
      <c r="G1448" s="5" t="s">
        <v>310</v>
      </c>
      <c r="H1448" s="1">
        <f t="shared" si="45"/>
        <v>3500</v>
      </c>
    </row>
    <row r="1449" spans="1:8" x14ac:dyDescent="0.3">
      <c r="A1449" s="2" t="str">
        <f t="shared" si="44"/>
        <v>Dec-2024</v>
      </c>
      <c r="B1449" s="2">
        <v>45631.67645097222</v>
      </c>
      <c r="C1449" s="5" t="s">
        <v>12</v>
      </c>
      <c r="D1449" s="3">
        <v>2</v>
      </c>
      <c r="E1449" s="4">
        <v>1800</v>
      </c>
      <c r="F1449" s="5" t="s">
        <v>24</v>
      </c>
      <c r="G1449" s="5" t="s">
        <v>258</v>
      </c>
      <c r="H1449" s="1">
        <f t="shared" si="45"/>
        <v>3600</v>
      </c>
    </row>
    <row r="1450" spans="1:8" x14ac:dyDescent="0.3">
      <c r="A1450" s="2" t="str">
        <f t="shared" si="44"/>
        <v>Dec-2024</v>
      </c>
      <c r="B1450" s="2">
        <v>45632.163442291669</v>
      </c>
      <c r="C1450" s="5" t="s">
        <v>9</v>
      </c>
      <c r="D1450" s="3">
        <v>4</v>
      </c>
      <c r="E1450" s="4">
        <v>3500</v>
      </c>
      <c r="F1450" s="5" t="s">
        <v>10</v>
      </c>
      <c r="G1450" s="5" t="s">
        <v>494</v>
      </c>
      <c r="H1450" s="1">
        <f t="shared" si="45"/>
        <v>14000</v>
      </c>
    </row>
    <row r="1451" spans="1:8" x14ac:dyDescent="0.3">
      <c r="A1451" s="2" t="str">
        <f t="shared" si="44"/>
        <v>Dec-2024</v>
      </c>
      <c r="B1451" s="2">
        <v>45632.650433622686</v>
      </c>
      <c r="C1451" s="5" t="s">
        <v>6</v>
      </c>
      <c r="D1451" s="3">
        <v>1</v>
      </c>
      <c r="E1451" s="4">
        <v>1800</v>
      </c>
      <c r="F1451" s="5" t="s">
        <v>10</v>
      </c>
      <c r="G1451" s="5" t="s">
        <v>495</v>
      </c>
      <c r="H1451" s="1">
        <f t="shared" si="45"/>
        <v>1800</v>
      </c>
    </row>
    <row r="1452" spans="1:8" x14ac:dyDescent="0.3">
      <c r="A1452" s="2" t="str">
        <f t="shared" si="44"/>
        <v>Dec-2024</v>
      </c>
      <c r="B1452" s="2">
        <v>45633.137424953704</v>
      </c>
      <c r="C1452" s="5" t="s">
        <v>12</v>
      </c>
      <c r="D1452" s="3">
        <v>3</v>
      </c>
      <c r="E1452" s="4">
        <v>150</v>
      </c>
      <c r="F1452" s="5" t="s">
        <v>13</v>
      </c>
      <c r="G1452" s="5" t="s">
        <v>101</v>
      </c>
      <c r="H1452" s="1">
        <f t="shared" si="45"/>
        <v>450</v>
      </c>
    </row>
    <row r="1453" spans="1:8" x14ac:dyDescent="0.3">
      <c r="A1453" s="2" t="str">
        <f t="shared" si="44"/>
        <v>Dec-2024</v>
      </c>
      <c r="B1453" s="2">
        <v>45633.624416273145</v>
      </c>
      <c r="C1453" s="5" t="s">
        <v>17</v>
      </c>
      <c r="D1453" s="3">
        <v>4</v>
      </c>
      <c r="E1453" s="4">
        <v>700</v>
      </c>
      <c r="F1453" s="5" t="s">
        <v>7</v>
      </c>
      <c r="G1453" s="5" t="s">
        <v>331</v>
      </c>
      <c r="H1453" s="1">
        <f t="shared" si="45"/>
        <v>2800</v>
      </c>
    </row>
    <row r="1454" spans="1:8" x14ac:dyDescent="0.3">
      <c r="A1454" s="2" t="str">
        <f t="shared" si="44"/>
        <v>Dec-2024</v>
      </c>
      <c r="B1454" s="2">
        <v>45634.111407604163</v>
      </c>
      <c r="C1454" s="5" t="s">
        <v>9</v>
      </c>
      <c r="D1454" s="3">
        <v>3</v>
      </c>
      <c r="E1454" s="4">
        <v>450</v>
      </c>
      <c r="F1454" s="5" t="s">
        <v>24</v>
      </c>
      <c r="G1454" s="5" t="s">
        <v>372</v>
      </c>
      <c r="H1454" s="1">
        <f t="shared" si="45"/>
        <v>1350</v>
      </c>
    </row>
    <row r="1455" spans="1:8" x14ac:dyDescent="0.3">
      <c r="A1455" s="2" t="str">
        <f t="shared" si="44"/>
        <v>Dec-2024</v>
      </c>
      <c r="B1455" s="2">
        <v>45634.598398935188</v>
      </c>
      <c r="C1455" s="5" t="s">
        <v>9</v>
      </c>
      <c r="D1455" s="3">
        <v>3</v>
      </c>
      <c r="E1455" s="4">
        <v>450</v>
      </c>
      <c r="F1455" s="5" t="s">
        <v>13</v>
      </c>
      <c r="G1455" s="5" t="s">
        <v>371</v>
      </c>
      <c r="H1455" s="1">
        <f t="shared" si="45"/>
        <v>1350</v>
      </c>
    </row>
    <row r="1456" spans="1:8" x14ac:dyDescent="0.3">
      <c r="A1456" s="2" t="str">
        <f t="shared" si="44"/>
        <v>Dec-2024</v>
      </c>
      <c r="B1456" s="2">
        <v>45635.08539025463</v>
      </c>
      <c r="C1456" s="5" t="s">
        <v>12</v>
      </c>
      <c r="D1456" s="3">
        <v>1</v>
      </c>
      <c r="E1456" s="4">
        <v>700</v>
      </c>
      <c r="F1456" s="5" t="s">
        <v>10</v>
      </c>
      <c r="G1456" s="5" t="s">
        <v>195</v>
      </c>
      <c r="H1456" s="1">
        <f t="shared" si="45"/>
        <v>700</v>
      </c>
    </row>
    <row r="1457" spans="1:8" x14ac:dyDescent="0.3">
      <c r="A1457" s="2" t="str">
        <f t="shared" si="44"/>
        <v>Dec-2024</v>
      </c>
      <c r="B1457" s="2">
        <v>45635.572381585647</v>
      </c>
      <c r="C1457" s="5" t="s">
        <v>12</v>
      </c>
      <c r="D1457" s="3">
        <v>4</v>
      </c>
      <c r="E1457" s="4">
        <v>450</v>
      </c>
      <c r="F1457" s="5" t="s">
        <v>10</v>
      </c>
      <c r="G1457" s="5" t="s">
        <v>288</v>
      </c>
      <c r="H1457" s="1">
        <f t="shared" si="45"/>
        <v>1800</v>
      </c>
    </row>
    <row r="1458" spans="1:8" x14ac:dyDescent="0.3">
      <c r="A1458" s="2" t="str">
        <f t="shared" si="44"/>
        <v>Dec-2024</v>
      </c>
      <c r="B1458" s="2">
        <v>45636.059372916665</v>
      </c>
      <c r="C1458" s="5" t="s">
        <v>6</v>
      </c>
      <c r="D1458" s="3">
        <v>6</v>
      </c>
      <c r="E1458" s="4">
        <v>3500</v>
      </c>
      <c r="F1458" s="5" t="s">
        <v>7</v>
      </c>
      <c r="G1458" s="5" t="s">
        <v>386</v>
      </c>
      <c r="H1458" s="1">
        <f t="shared" si="45"/>
        <v>21000</v>
      </c>
    </row>
    <row r="1459" spans="1:8" x14ac:dyDescent="0.3">
      <c r="A1459" s="2" t="str">
        <f t="shared" si="44"/>
        <v>Dec-2024</v>
      </c>
      <c r="B1459" s="2">
        <v>45636.546364247683</v>
      </c>
      <c r="C1459" s="5" t="s">
        <v>36</v>
      </c>
      <c r="D1459" s="3">
        <v>5</v>
      </c>
      <c r="E1459" s="4">
        <v>150</v>
      </c>
      <c r="F1459" s="5" t="s">
        <v>7</v>
      </c>
      <c r="G1459" s="5" t="s">
        <v>459</v>
      </c>
      <c r="H1459" s="1">
        <f t="shared" si="45"/>
        <v>750</v>
      </c>
    </row>
    <row r="1460" spans="1:8" x14ac:dyDescent="0.3">
      <c r="A1460" s="2" t="str">
        <f t="shared" si="44"/>
        <v>Dec-2024</v>
      </c>
      <c r="B1460" s="2">
        <v>45637.033355567131</v>
      </c>
      <c r="C1460" s="5" t="s">
        <v>12</v>
      </c>
      <c r="D1460" s="3">
        <v>1</v>
      </c>
      <c r="E1460" s="4">
        <v>150</v>
      </c>
      <c r="F1460" s="5" t="s">
        <v>7</v>
      </c>
      <c r="G1460" s="5" t="s">
        <v>188</v>
      </c>
      <c r="H1460" s="1">
        <f t="shared" si="45"/>
        <v>150</v>
      </c>
    </row>
    <row r="1461" spans="1:8" x14ac:dyDescent="0.3">
      <c r="A1461" s="2" t="str">
        <f t="shared" si="44"/>
        <v>Dec-2024</v>
      </c>
      <c r="B1461" s="2">
        <v>45637.520346898149</v>
      </c>
      <c r="C1461" s="5" t="s">
        <v>12</v>
      </c>
      <c r="D1461" s="3">
        <v>1</v>
      </c>
      <c r="E1461" s="4">
        <v>700</v>
      </c>
      <c r="F1461" s="5" t="s">
        <v>13</v>
      </c>
      <c r="G1461" s="5" t="s">
        <v>222</v>
      </c>
      <c r="H1461" s="1">
        <f t="shared" si="45"/>
        <v>700</v>
      </c>
    </row>
    <row r="1462" spans="1:8" x14ac:dyDescent="0.3">
      <c r="A1462" s="2" t="str">
        <f t="shared" si="44"/>
        <v>Dec-2024</v>
      </c>
      <c r="B1462" s="2">
        <v>45638.007338229167</v>
      </c>
      <c r="C1462" s="5" t="s">
        <v>26</v>
      </c>
      <c r="D1462" s="3">
        <v>6</v>
      </c>
      <c r="E1462" s="4">
        <v>450</v>
      </c>
      <c r="F1462" s="5" t="s">
        <v>10</v>
      </c>
      <c r="G1462" s="5" t="s">
        <v>399</v>
      </c>
      <c r="H1462" s="1">
        <f t="shared" si="45"/>
        <v>2700</v>
      </c>
    </row>
    <row r="1463" spans="1:8" x14ac:dyDescent="0.3">
      <c r="A1463" s="2" t="str">
        <f t="shared" si="44"/>
        <v>Dec-2024</v>
      </c>
      <c r="B1463" s="2">
        <v>45638.494329548608</v>
      </c>
      <c r="C1463" s="5" t="s">
        <v>17</v>
      </c>
      <c r="D1463" s="3">
        <v>4</v>
      </c>
      <c r="E1463" s="4">
        <v>3500</v>
      </c>
      <c r="F1463" s="5" t="s">
        <v>10</v>
      </c>
      <c r="G1463" s="5" t="s">
        <v>266</v>
      </c>
      <c r="H1463" s="1">
        <f t="shared" si="45"/>
        <v>14000</v>
      </c>
    </row>
    <row r="1464" spans="1:8" x14ac:dyDescent="0.3">
      <c r="A1464" s="2" t="str">
        <f t="shared" si="44"/>
        <v>Dec-2024</v>
      </c>
      <c r="B1464" s="2">
        <v>45638.981320879633</v>
      </c>
      <c r="C1464" s="5" t="s">
        <v>26</v>
      </c>
      <c r="D1464" s="3">
        <v>4</v>
      </c>
      <c r="E1464" s="4">
        <v>150</v>
      </c>
      <c r="F1464" s="5" t="s">
        <v>7</v>
      </c>
      <c r="G1464" s="5" t="s">
        <v>423</v>
      </c>
      <c r="H1464" s="1">
        <f t="shared" si="45"/>
        <v>600</v>
      </c>
    </row>
    <row r="1465" spans="1:8" x14ac:dyDescent="0.3">
      <c r="A1465" s="2" t="str">
        <f t="shared" si="44"/>
        <v>Dec-2024</v>
      </c>
      <c r="B1465" s="2">
        <v>45639.468312210651</v>
      </c>
      <c r="C1465" s="5" t="s">
        <v>26</v>
      </c>
      <c r="D1465" s="3">
        <v>3</v>
      </c>
      <c r="E1465" s="4">
        <v>150</v>
      </c>
      <c r="F1465" s="5" t="s">
        <v>24</v>
      </c>
      <c r="G1465" s="5" t="s">
        <v>452</v>
      </c>
      <c r="H1465" s="1">
        <f t="shared" si="45"/>
        <v>450</v>
      </c>
    </row>
    <row r="1466" spans="1:8" x14ac:dyDescent="0.3">
      <c r="A1466" s="2" t="str">
        <f t="shared" si="44"/>
        <v>Dec-2024</v>
      </c>
      <c r="B1466" s="2">
        <v>45639.955303530092</v>
      </c>
      <c r="C1466" s="5" t="s">
        <v>9</v>
      </c>
      <c r="D1466" s="3">
        <v>6</v>
      </c>
      <c r="E1466" s="4">
        <v>1200</v>
      </c>
      <c r="F1466" s="5" t="s">
        <v>7</v>
      </c>
      <c r="G1466" s="5" t="s">
        <v>467</v>
      </c>
      <c r="H1466" s="1">
        <f t="shared" si="45"/>
        <v>7200</v>
      </c>
    </row>
    <row r="1467" spans="1:8" x14ac:dyDescent="0.3">
      <c r="A1467" s="2" t="str">
        <f t="shared" si="44"/>
        <v>Dec-2024</v>
      </c>
      <c r="B1467" s="2">
        <v>45640.44229486111</v>
      </c>
      <c r="C1467" s="5" t="s">
        <v>36</v>
      </c>
      <c r="D1467" s="3">
        <v>6</v>
      </c>
      <c r="E1467" s="4">
        <v>1200</v>
      </c>
      <c r="F1467" s="5" t="s">
        <v>13</v>
      </c>
      <c r="G1467" s="5" t="s">
        <v>166</v>
      </c>
      <c r="H1467" s="1">
        <f t="shared" si="45"/>
        <v>7200</v>
      </c>
    </row>
    <row r="1468" spans="1:8" x14ac:dyDescent="0.3">
      <c r="A1468" s="2" t="str">
        <f t="shared" si="44"/>
        <v>Dec-2024</v>
      </c>
      <c r="B1468" s="2">
        <v>45640.929286192128</v>
      </c>
      <c r="C1468" s="5" t="s">
        <v>17</v>
      </c>
      <c r="D1468" s="3">
        <v>4</v>
      </c>
      <c r="E1468" s="4">
        <v>150</v>
      </c>
      <c r="F1468" s="5" t="s">
        <v>7</v>
      </c>
      <c r="G1468" s="5" t="s">
        <v>96</v>
      </c>
      <c r="H1468" s="1">
        <f t="shared" si="45"/>
        <v>600</v>
      </c>
    </row>
    <row r="1469" spans="1:8" x14ac:dyDescent="0.3">
      <c r="A1469" s="2" t="str">
        <f t="shared" si="44"/>
        <v>Dec-2024</v>
      </c>
      <c r="B1469" s="2">
        <v>45641.416277523145</v>
      </c>
      <c r="C1469" s="5" t="s">
        <v>6</v>
      </c>
      <c r="D1469" s="3">
        <v>3</v>
      </c>
      <c r="E1469" s="4">
        <v>700</v>
      </c>
      <c r="F1469" s="5" t="s">
        <v>7</v>
      </c>
      <c r="G1469" s="5" t="s">
        <v>318</v>
      </c>
      <c r="H1469" s="1">
        <f t="shared" si="45"/>
        <v>2100</v>
      </c>
    </row>
    <row r="1470" spans="1:8" x14ac:dyDescent="0.3">
      <c r="A1470" s="2" t="str">
        <f t="shared" si="44"/>
        <v>Dec-2024</v>
      </c>
      <c r="B1470" s="2">
        <v>45641.903268842594</v>
      </c>
      <c r="C1470" s="5" t="s">
        <v>6</v>
      </c>
      <c r="D1470" s="3">
        <v>1</v>
      </c>
      <c r="E1470" s="4">
        <v>1800</v>
      </c>
      <c r="F1470" s="5" t="s">
        <v>13</v>
      </c>
      <c r="G1470" s="5" t="s">
        <v>55</v>
      </c>
      <c r="H1470" s="1">
        <f t="shared" si="45"/>
        <v>1800</v>
      </c>
    </row>
    <row r="1471" spans="1:8" x14ac:dyDescent="0.3">
      <c r="A1471" s="2" t="str">
        <f t="shared" si="44"/>
        <v>Dec-2024</v>
      </c>
      <c r="B1471" s="2">
        <v>45642.390260173612</v>
      </c>
      <c r="C1471" s="5" t="s">
        <v>12</v>
      </c>
      <c r="D1471" s="3">
        <v>2</v>
      </c>
      <c r="E1471" s="4">
        <v>1800</v>
      </c>
      <c r="F1471" s="5" t="s">
        <v>7</v>
      </c>
      <c r="G1471" s="5" t="s">
        <v>451</v>
      </c>
      <c r="H1471" s="1">
        <f t="shared" si="45"/>
        <v>3600</v>
      </c>
    </row>
    <row r="1472" spans="1:8" x14ac:dyDescent="0.3">
      <c r="A1472" s="2" t="str">
        <f t="shared" si="44"/>
        <v>Dec-2024</v>
      </c>
      <c r="B1472" s="2">
        <v>45642.877251504629</v>
      </c>
      <c r="C1472" s="5" t="s">
        <v>12</v>
      </c>
      <c r="D1472" s="3">
        <v>5</v>
      </c>
      <c r="E1472" s="4">
        <v>3500</v>
      </c>
      <c r="F1472" s="5" t="s">
        <v>10</v>
      </c>
      <c r="G1472" s="5" t="s">
        <v>318</v>
      </c>
      <c r="H1472" s="1">
        <f t="shared" si="45"/>
        <v>17500</v>
      </c>
    </row>
    <row r="1473" spans="1:8" x14ac:dyDescent="0.3">
      <c r="A1473" s="2" t="str">
        <f t="shared" si="44"/>
        <v>Dec-2024</v>
      </c>
      <c r="B1473" s="2">
        <v>45643.364242824071</v>
      </c>
      <c r="C1473" s="5" t="s">
        <v>6</v>
      </c>
      <c r="D1473" s="3">
        <v>1</v>
      </c>
      <c r="E1473" s="4">
        <v>150</v>
      </c>
      <c r="F1473" s="5" t="s">
        <v>24</v>
      </c>
      <c r="G1473" s="5" t="s">
        <v>430</v>
      </c>
      <c r="H1473" s="1">
        <f t="shared" si="45"/>
        <v>150</v>
      </c>
    </row>
    <row r="1474" spans="1:8" x14ac:dyDescent="0.3">
      <c r="A1474" s="2" t="str">
        <f t="shared" si="44"/>
        <v>Dec-2024</v>
      </c>
      <c r="B1474" s="2">
        <v>45643.851234155096</v>
      </c>
      <c r="C1474" s="5" t="s">
        <v>12</v>
      </c>
      <c r="D1474" s="3">
        <v>4</v>
      </c>
      <c r="E1474" s="4">
        <v>150</v>
      </c>
      <c r="F1474" s="5" t="s">
        <v>7</v>
      </c>
      <c r="G1474" s="5" t="s">
        <v>457</v>
      </c>
      <c r="H1474" s="1">
        <f t="shared" si="45"/>
        <v>600</v>
      </c>
    </row>
    <row r="1475" spans="1:8" x14ac:dyDescent="0.3">
      <c r="A1475" s="2" t="str">
        <f t="shared" ref="A1475:A1501" si="46">TEXT(B1475, "mmm-yyyy")</f>
        <v>Dec-2024</v>
      </c>
      <c r="B1475" s="2">
        <v>45644.338225486114</v>
      </c>
      <c r="C1475" s="5" t="s">
        <v>36</v>
      </c>
      <c r="D1475" s="3">
        <v>5</v>
      </c>
      <c r="E1475" s="4">
        <v>150</v>
      </c>
      <c r="F1475" s="5" t="s">
        <v>13</v>
      </c>
      <c r="G1475" s="5" t="s">
        <v>231</v>
      </c>
      <c r="H1475" s="1">
        <f t="shared" ref="H1475:H1501" si="47" xml:space="preserve"> D1475 * E1475</f>
        <v>750</v>
      </c>
    </row>
    <row r="1476" spans="1:8" x14ac:dyDescent="0.3">
      <c r="A1476" s="2" t="str">
        <f t="shared" si="46"/>
        <v>Dec-2024</v>
      </c>
      <c r="B1476" s="2">
        <v>45644.825216805555</v>
      </c>
      <c r="C1476" s="5" t="s">
        <v>26</v>
      </c>
      <c r="D1476" s="3">
        <v>2</v>
      </c>
      <c r="E1476" s="4">
        <v>700</v>
      </c>
      <c r="F1476" s="5" t="s">
        <v>24</v>
      </c>
      <c r="G1476" s="5" t="s">
        <v>480</v>
      </c>
      <c r="H1476" s="1">
        <f t="shared" si="47"/>
        <v>1400</v>
      </c>
    </row>
    <row r="1477" spans="1:8" x14ac:dyDescent="0.3">
      <c r="A1477" s="2" t="str">
        <f t="shared" si="46"/>
        <v>Dec-2024</v>
      </c>
      <c r="B1477" s="2">
        <v>45645.312208136573</v>
      </c>
      <c r="C1477" s="5" t="s">
        <v>12</v>
      </c>
      <c r="D1477" s="3">
        <v>2</v>
      </c>
      <c r="E1477" s="4">
        <v>1200</v>
      </c>
      <c r="F1477" s="5" t="s">
        <v>13</v>
      </c>
      <c r="G1477" s="5" t="s">
        <v>121</v>
      </c>
      <c r="H1477" s="1">
        <f t="shared" si="47"/>
        <v>2400</v>
      </c>
    </row>
    <row r="1478" spans="1:8" x14ac:dyDescent="0.3">
      <c r="A1478" s="2" t="str">
        <f t="shared" si="46"/>
        <v>Dec-2024</v>
      </c>
      <c r="B1478" s="2">
        <v>45645.79919946759</v>
      </c>
      <c r="C1478" s="5" t="s">
        <v>9</v>
      </c>
      <c r="D1478" s="3">
        <v>3</v>
      </c>
      <c r="E1478" s="4">
        <v>150</v>
      </c>
      <c r="F1478" s="5" t="s">
        <v>24</v>
      </c>
      <c r="G1478" s="5" t="s">
        <v>447</v>
      </c>
      <c r="H1478" s="1">
        <f t="shared" si="47"/>
        <v>450</v>
      </c>
    </row>
    <row r="1479" spans="1:8" x14ac:dyDescent="0.3">
      <c r="A1479" s="2" t="str">
        <f t="shared" si="46"/>
        <v>Dec-2024</v>
      </c>
      <c r="B1479" s="2">
        <v>45646.286190798608</v>
      </c>
      <c r="C1479" s="5" t="s">
        <v>12</v>
      </c>
      <c r="D1479" s="3">
        <v>5</v>
      </c>
      <c r="E1479" s="4">
        <v>150</v>
      </c>
      <c r="F1479" s="5" t="s">
        <v>24</v>
      </c>
      <c r="G1479" s="5" t="s">
        <v>319</v>
      </c>
      <c r="H1479" s="1">
        <f t="shared" si="47"/>
        <v>750</v>
      </c>
    </row>
    <row r="1480" spans="1:8" x14ac:dyDescent="0.3">
      <c r="A1480" s="2" t="str">
        <f t="shared" si="46"/>
        <v>Dec-2024</v>
      </c>
      <c r="B1480" s="2">
        <v>45646.773182118057</v>
      </c>
      <c r="C1480" s="5" t="s">
        <v>17</v>
      </c>
      <c r="D1480" s="3">
        <v>3</v>
      </c>
      <c r="E1480" s="4">
        <v>450</v>
      </c>
      <c r="F1480" s="5" t="s">
        <v>7</v>
      </c>
      <c r="G1480" s="5" t="s">
        <v>371</v>
      </c>
      <c r="H1480" s="1">
        <f t="shared" si="47"/>
        <v>1350</v>
      </c>
    </row>
    <row r="1481" spans="1:8" x14ac:dyDescent="0.3">
      <c r="A1481" s="2" t="str">
        <f t="shared" si="46"/>
        <v>Dec-2024</v>
      </c>
      <c r="B1481" s="2">
        <v>45647.260173449075</v>
      </c>
      <c r="C1481" s="5" t="s">
        <v>36</v>
      </c>
      <c r="D1481" s="3">
        <v>1</v>
      </c>
      <c r="E1481" s="4">
        <v>700</v>
      </c>
      <c r="F1481" s="5" t="s">
        <v>10</v>
      </c>
      <c r="G1481" s="5" t="s">
        <v>362</v>
      </c>
      <c r="H1481" s="1">
        <f t="shared" si="47"/>
        <v>700</v>
      </c>
    </row>
    <row r="1482" spans="1:8" x14ac:dyDescent="0.3">
      <c r="A1482" s="2" t="str">
        <f t="shared" si="46"/>
        <v>Dec-2024</v>
      </c>
      <c r="B1482" s="2">
        <v>45647.747164780092</v>
      </c>
      <c r="C1482" s="5" t="s">
        <v>17</v>
      </c>
      <c r="D1482" s="3">
        <v>6</v>
      </c>
      <c r="E1482" s="4">
        <v>3500</v>
      </c>
      <c r="F1482" s="5" t="s">
        <v>7</v>
      </c>
      <c r="G1482" s="5" t="s">
        <v>112</v>
      </c>
      <c r="H1482" s="1">
        <f t="shared" si="47"/>
        <v>21000</v>
      </c>
    </row>
    <row r="1483" spans="1:8" x14ac:dyDescent="0.3">
      <c r="A1483" s="2" t="str">
        <f t="shared" si="46"/>
        <v>Dec-2024</v>
      </c>
      <c r="B1483" s="2">
        <v>45648.234156099534</v>
      </c>
      <c r="C1483" s="5" t="s">
        <v>17</v>
      </c>
      <c r="D1483" s="3">
        <v>6</v>
      </c>
      <c r="E1483" s="4">
        <v>150</v>
      </c>
      <c r="F1483" s="5" t="s">
        <v>13</v>
      </c>
      <c r="G1483" s="5" t="s">
        <v>205</v>
      </c>
      <c r="H1483" s="1">
        <f t="shared" si="47"/>
        <v>900</v>
      </c>
    </row>
    <row r="1484" spans="1:8" x14ac:dyDescent="0.3">
      <c r="A1484" s="2" t="str">
        <f t="shared" si="46"/>
        <v>Dec-2024</v>
      </c>
      <c r="B1484" s="2">
        <v>45648.721147430559</v>
      </c>
      <c r="C1484" s="5" t="s">
        <v>9</v>
      </c>
      <c r="D1484" s="3">
        <v>6</v>
      </c>
      <c r="E1484" s="4">
        <v>450</v>
      </c>
      <c r="F1484" s="5" t="s">
        <v>13</v>
      </c>
      <c r="G1484" s="5" t="s">
        <v>242</v>
      </c>
      <c r="H1484" s="1">
        <f t="shared" si="47"/>
        <v>2700</v>
      </c>
    </row>
    <row r="1485" spans="1:8" x14ac:dyDescent="0.3">
      <c r="A1485" s="2" t="str">
        <f t="shared" si="46"/>
        <v>Dec-2024</v>
      </c>
      <c r="B1485" s="2">
        <v>45649.208138761576</v>
      </c>
      <c r="C1485" s="5" t="s">
        <v>36</v>
      </c>
      <c r="D1485" s="3">
        <v>5</v>
      </c>
      <c r="E1485" s="4">
        <v>1800</v>
      </c>
      <c r="F1485" s="5" t="s">
        <v>24</v>
      </c>
      <c r="G1485" s="5" t="s">
        <v>89</v>
      </c>
      <c r="H1485" s="1">
        <f t="shared" si="47"/>
        <v>9000</v>
      </c>
    </row>
    <row r="1486" spans="1:8" x14ac:dyDescent="0.3">
      <c r="A1486" s="2" t="str">
        <f t="shared" si="46"/>
        <v>Dec-2024</v>
      </c>
      <c r="B1486" s="2">
        <v>45649.695130081018</v>
      </c>
      <c r="C1486" s="5" t="s">
        <v>36</v>
      </c>
      <c r="D1486" s="3">
        <v>6</v>
      </c>
      <c r="E1486" s="4">
        <v>3500</v>
      </c>
      <c r="F1486" s="5" t="s">
        <v>24</v>
      </c>
      <c r="G1486" s="5" t="s">
        <v>376</v>
      </c>
      <c r="H1486" s="1">
        <f t="shared" si="47"/>
        <v>21000</v>
      </c>
    </row>
    <row r="1487" spans="1:8" x14ac:dyDescent="0.3">
      <c r="A1487" s="2" t="str">
        <f t="shared" si="46"/>
        <v>Dec-2024</v>
      </c>
      <c r="B1487" s="2">
        <v>45650.182121412035</v>
      </c>
      <c r="C1487" s="5" t="s">
        <v>36</v>
      </c>
      <c r="D1487" s="3">
        <v>1</v>
      </c>
      <c r="E1487" s="4">
        <v>150</v>
      </c>
      <c r="F1487" s="5" t="s">
        <v>10</v>
      </c>
      <c r="G1487" s="5" t="s">
        <v>221</v>
      </c>
      <c r="H1487" s="1">
        <f t="shared" si="47"/>
        <v>150</v>
      </c>
    </row>
    <row r="1488" spans="1:8" x14ac:dyDescent="0.3">
      <c r="A1488" s="2" t="str">
        <f t="shared" si="46"/>
        <v>Dec-2024</v>
      </c>
      <c r="B1488" s="2">
        <v>45650.669112743053</v>
      </c>
      <c r="C1488" s="5" t="s">
        <v>36</v>
      </c>
      <c r="D1488" s="3">
        <v>3</v>
      </c>
      <c r="E1488" s="4">
        <v>150</v>
      </c>
      <c r="F1488" s="5" t="s">
        <v>7</v>
      </c>
      <c r="G1488" s="5" t="s">
        <v>213</v>
      </c>
      <c r="H1488" s="1">
        <f t="shared" si="47"/>
        <v>450</v>
      </c>
    </row>
    <row r="1489" spans="1:8" x14ac:dyDescent="0.3">
      <c r="A1489" s="2" t="str">
        <f t="shared" si="46"/>
        <v>Dec-2024</v>
      </c>
      <c r="B1489" s="2">
        <v>45651.156104074071</v>
      </c>
      <c r="C1489" s="5" t="s">
        <v>36</v>
      </c>
      <c r="D1489" s="3">
        <v>5</v>
      </c>
      <c r="E1489" s="4">
        <v>450</v>
      </c>
      <c r="F1489" s="5" t="s">
        <v>13</v>
      </c>
      <c r="G1489" s="5" t="s">
        <v>371</v>
      </c>
      <c r="H1489" s="1">
        <f t="shared" si="47"/>
        <v>2250</v>
      </c>
    </row>
    <row r="1490" spans="1:8" x14ac:dyDescent="0.3">
      <c r="A1490" s="2" t="str">
        <f t="shared" si="46"/>
        <v>Dec-2024</v>
      </c>
      <c r="B1490" s="2">
        <v>45651.64309539352</v>
      </c>
      <c r="C1490" s="5" t="s">
        <v>9</v>
      </c>
      <c r="D1490" s="3">
        <v>3</v>
      </c>
      <c r="E1490" s="4">
        <v>700</v>
      </c>
      <c r="F1490" s="5" t="s">
        <v>24</v>
      </c>
      <c r="G1490" s="5" t="s">
        <v>106</v>
      </c>
      <c r="H1490" s="1">
        <f t="shared" si="47"/>
        <v>2100</v>
      </c>
    </row>
    <row r="1491" spans="1:8" x14ac:dyDescent="0.3">
      <c r="A1491" s="2" t="str">
        <f t="shared" si="46"/>
        <v>Dec-2024</v>
      </c>
      <c r="B1491" s="2">
        <v>45652.130086724537</v>
      </c>
      <c r="C1491" s="5" t="s">
        <v>12</v>
      </c>
      <c r="D1491" s="3">
        <v>5</v>
      </c>
      <c r="E1491" s="4">
        <v>150</v>
      </c>
      <c r="F1491" s="5" t="s">
        <v>10</v>
      </c>
      <c r="G1491" s="5" t="s">
        <v>295</v>
      </c>
      <c r="H1491" s="1">
        <f t="shared" si="47"/>
        <v>750</v>
      </c>
    </row>
    <row r="1492" spans="1:8" x14ac:dyDescent="0.3">
      <c r="A1492" s="2" t="str">
        <f t="shared" si="46"/>
        <v>Dec-2024</v>
      </c>
      <c r="B1492" s="2">
        <v>45652.617078055555</v>
      </c>
      <c r="C1492" s="5" t="s">
        <v>17</v>
      </c>
      <c r="D1492" s="3">
        <v>3</v>
      </c>
      <c r="E1492" s="4">
        <v>1800</v>
      </c>
      <c r="F1492" s="5" t="s">
        <v>13</v>
      </c>
      <c r="G1492" s="5" t="s">
        <v>174</v>
      </c>
      <c r="H1492" s="1">
        <f t="shared" si="47"/>
        <v>5400</v>
      </c>
    </row>
    <row r="1493" spans="1:8" x14ac:dyDescent="0.3">
      <c r="A1493" s="2" t="str">
        <f t="shared" si="46"/>
        <v>Dec-2024</v>
      </c>
      <c r="B1493" s="2">
        <v>45653.104069374996</v>
      </c>
      <c r="C1493" s="5" t="s">
        <v>36</v>
      </c>
      <c r="D1493" s="3">
        <v>2</v>
      </c>
      <c r="E1493" s="4">
        <v>150</v>
      </c>
      <c r="F1493" s="5" t="s">
        <v>24</v>
      </c>
      <c r="G1493" s="5" t="s">
        <v>257</v>
      </c>
      <c r="H1493" s="1">
        <f t="shared" si="47"/>
        <v>300</v>
      </c>
    </row>
    <row r="1494" spans="1:8" x14ac:dyDescent="0.3">
      <c r="A1494" s="2" t="str">
        <f t="shared" si="46"/>
        <v>Dec-2024</v>
      </c>
      <c r="B1494" s="2">
        <v>45653.591060706021</v>
      </c>
      <c r="C1494" s="5" t="s">
        <v>12</v>
      </c>
      <c r="D1494" s="3">
        <v>3</v>
      </c>
      <c r="E1494" s="4">
        <v>1800</v>
      </c>
      <c r="F1494" s="5" t="s">
        <v>13</v>
      </c>
      <c r="G1494" s="5" t="s">
        <v>160</v>
      </c>
      <c r="H1494" s="1">
        <f t="shared" si="47"/>
        <v>5400</v>
      </c>
    </row>
    <row r="1495" spans="1:8" x14ac:dyDescent="0.3">
      <c r="A1495" s="2" t="str">
        <f t="shared" si="46"/>
        <v>Dec-2024</v>
      </c>
      <c r="B1495" s="2">
        <v>45654.078052037039</v>
      </c>
      <c r="C1495" s="5" t="s">
        <v>12</v>
      </c>
      <c r="D1495" s="3">
        <v>6</v>
      </c>
      <c r="E1495" s="4">
        <v>3500</v>
      </c>
      <c r="F1495" s="5" t="s">
        <v>10</v>
      </c>
      <c r="G1495" s="5" t="s">
        <v>205</v>
      </c>
      <c r="H1495" s="1">
        <f t="shared" si="47"/>
        <v>21000</v>
      </c>
    </row>
    <row r="1496" spans="1:8" x14ac:dyDescent="0.3">
      <c r="A1496" s="2" t="str">
        <f t="shared" si="46"/>
        <v>Dec-2024</v>
      </c>
      <c r="B1496" s="2">
        <v>45654.565043356481</v>
      </c>
      <c r="C1496" s="5" t="s">
        <v>17</v>
      </c>
      <c r="D1496" s="3">
        <v>2</v>
      </c>
      <c r="E1496" s="4">
        <v>3500</v>
      </c>
      <c r="F1496" s="5" t="s">
        <v>10</v>
      </c>
      <c r="G1496" s="5" t="s">
        <v>496</v>
      </c>
      <c r="H1496" s="1">
        <f t="shared" si="47"/>
        <v>7000</v>
      </c>
    </row>
    <row r="1497" spans="1:8" x14ac:dyDescent="0.3">
      <c r="A1497" s="2" t="str">
        <f t="shared" si="46"/>
        <v>Dec-2024</v>
      </c>
      <c r="B1497" s="2">
        <v>45655.052034687498</v>
      </c>
      <c r="C1497" s="5" t="s">
        <v>9</v>
      </c>
      <c r="D1497" s="3">
        <v>3</v>
      </c>
      <c r="E1497" s="4">
        <v>1200</v>
      </c>
      <c r="F1497" s="5" t="s">
        <v>13</v>
      </c>
      <c r="G1497" s="5" t="s">
        <v>490</v>
      </c>
      <c r="H1497" s="1">
        <f t="shared" si="47"/>
        <v>3600</v>
      </c>
    </row>
    <row r="1498" spans="1:8" x14ac:dyDescent="0.3">
      <c r="A1498" s="2" t="str">
        <f t="shared" si="46"/>
        <v>Dec-2024</v>
      </c>
      <c r="B1498" s="2">
        <v>45655.539026018516</v>
      </c>
      <c r="C1498" s="5" t="s">
        <v>6</v>
      </c>
      <c r="D1498" s="3">
        <v>5</v>
      </c>
      <c r="E1498" s="4">
        <v>1200</v>
      </c>
      <c r="F1498" s="5" t="s">
        <v>7</v>
      </c>
      <c r="G1498" s="5" t="s">
        <v>432</v>
      </c>
      <c r="H1498" s="1">
        <f t="shared" si="47"/>
        <v>6000</v>
      </c>
    </row>
    <row r="1499" spans="1:8" x14ac:dyDescent="0.3">
      <c r="A1499" s="2" t="str">
        <f t="shared" si="46"/>
        <v>Dec-2024</v>
      </c>
      <c r="B1499" s="2">
        <v>45656.026017349534</v>
      </c>
      <c r="C1499" s="5" t="s">
        <v>6</v>
      </c>
      <c r="D1499" s="3">
        <v>5</v>
      </c>
      <c r="E1499" s="4">
        <v>1800</v>
      </c>
      <c r="F1499" s="5" t="s">
        <v>13</v>
      </c>
      <c r="G1499" s="5" t="s">
        <v>323</v>
      </c>
      <c r="H1499" s="1">
        <f t="shared" si="47"/>
        <v>9000</v>
      </c>
    </row>
    <row r="1500" spans="1:8" x14ac:dyDescent="0.3">
      <c r="A1500" s="2" t="str">
        <f t="shared" si="46"/>
        <v>Dec-2024</v>
      </c>
      <c r="B1500" s="2">
        <v>45656.513008668982</v>
      </c>
      <c r="C1500" s="5" t="s">
        <v>12</v>
      </c>
      <c r="D1500" s="3">
        <v>5</v>
      </c>
      <c r="E1500" s="4">
        <v>700</v>
      </c>
      <c r="F1500" s="5" t="s">
        <v>24</v>
      </c>
      <c r="G1500" s="5" t="s">
        <v>388</v>
      </c>
      <c r="H1500" s="1">
        <f t="shared" si="47"/>
        <v>3500</v>
      </c>
    </row>
    <row r="1501" spans="1:8" x14ac:dyDescent="0.3">
      <c r="A1501" s="2" t="str">
        <f t="shared" si="46"/>
        <v>Dec-2024</v>
      </c>
      <c r="B1501" s="2">
        <v>45657</v>
      </c>
      <c r="C1501" s="5" t="s">
        <v>26</v>
      </c>
      <c r="D1501" s="3">
        <v>4</v>
      </c>
      <c r="E1501" s="4">
        <v>150</v>
      </c>
      <c r="F1501" s="5" t="s">
        <v>7</v>
      </c>
      <c r="G1501" s="5" t="s">
        <v>255</v>
      </c>
      <c r="H1501" s="1">
        <f t="shared" si="47"/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D21" sqref="D21"/>
    </sheetView>
  </sheetViews>
  <sheetFormatPr defaultRowHeight="14.4" x14ac:dyDescent="0.3"/>
  <cols>
    <col min="1" max="1" width="12.88671875" customWidth="1"/>
    <col min="2" max="2" width="19.33203125" customWidth="1"/>
    <col min="4" max="5" width="18.5546875" customWidth="1"/>
    <col min="7" max="8" width="19.44140625" customWidth="1"/>
    <col min="10" max="11" width="19.109375" customWidth="1"/>
  </cols>
  <sheetData>
    <row r="1" spans="1:11" x14ac:dyDescent="0.3">
      <c r="A1" s="22" t="s">
        <v>532</v>
      </c>
      <c r="B1" s="22"/>
      <c r="D1" s="22" t="s">
        <v>501</v>
      </c>
      <c r="E1" s="22"/>
      <c r="G1" s="22" t="s">
        <v>533</v>
      </c>
      <c r="H1" s="22"/>
      <c r="J1" s="22" t="s">
        <v>534</v>
      </c>
      <c r="K1" s="22"/>
    </row>
    <row r="2" spans="1:11" x14ac:dyDescent="0.3">
      <c r="A2" s="6" t="s">
        <v>503</v>
      </c>
      <c r="B2" t="s">
        <v>505</v>
      </c>
      <c r="D2" s="6" t="s">
        <v>503</v>
      </c>
      <c r="E2" t="s">
        <v>505</v>
      </c>
      <c r="G2" s="6" t="s">
        <v>503</v>
      </c>
      <c r="H2" t="s">
        <v>505</v>
      </c>
      <c r="J2" s="6" t="s">
        <v>503</v>
      </c>
      <c r="K2" t="s">
        <v>505</v>
      </c>
    </row>
    <row r="3" spans="1:11" x14ac:dyDescent="0.3">
      <c r="A3" s="7" t="s">
        <v>42</v>
      </c>
      <c r="B3" s="19">
        <v>60400</v>
      </c>
      <c r="D3" s="7" t="s">
        <v>36</v>
      </c>
      <c r="E3" s="19">
        <v>1298050</v>
      </c>
      <c r="G3" s="7" t="s">
        <v>7</v>
      </c>
      <c r="H3" s="19">
        <v>1767250</v>
      </c>
      <c r="J3" s="7" t="s">
        <v>507</v>
      </c>
      <c r="K3" s="19">
        <v>286150</v>
      </c>
    </row>
    <row r="4" spans="1:11" x14ac:dyDescent="0.3">
      <c r="A4" s="7" t="s">
        <v>44</v>
      </c>
      <c r="B4" s="19">
        <v>56750</v>
      </c>
      <c r="D4" s="7" t="s">
        <v>17</v>
      </c>
      <c r="E4" s="19">
        <v>1227550</v>
      </c>
      <c r="G4" s="7" t="s">
        <v>10</v>
      </c>
      <c r="H4" s="19">
        <v>1738850</v>
      </c>
      <c r="J4" s="7" t="s">
        <v>508</v>
      </c>
      <c r="K4" s="19">
        <v>224300</v>
      </c>
    </row>
    <row r="5" spans="1:11" x14ac:dyDescent="0.3">
      <c r="A5" s="7" t="s">
        <v>32</v>
      </c>
      <c r="B5" s="19">
        <v>54000</v>
      </c>
      <c r="D5" s="7" t="s">
        <v>26</v>
      </c>
      <c r="E5" s="19">
        <v>1158100</v>
      </c>
      <c r="G5" s="7" t="s">
        <v>24</v>
      </c>
      <c r="H5" s="19">
        <v>1670400</v>
      </c>
      <c r="J5" s="7" t="s">
        <v>509</v>
      </c>
      <c r="K5" s="19">
        <v>279550</v>
      </c>
    </row>
    <row r="6" spans="1:11" x14ac:dyDescent="0.3">
      <c r="A6" s="7" t="s">
        <v>95</v>
      </c>
      <c r="B6" s="19">
        <v>52900</v>
      </c>
      <c r="D6" s="7" t="s">
        <v>9</v>
      </c>
      <c r="E6" s="19">
        <v>1143200</v>
      </c>
      <c r="G6" s="7" t="s">
        <v>13</v>
      </c>
      <c r="H6" s="19">
        <v>1566500</v>
      </c>
      <c r="J6" s="7" t="s">
        <v>510</v>
      </c>
      <c r="K6" s="19">
        <v>335850</v>
      </c>
    </row>
    <row r="7" spans="1:11" x14ac:dyDescent="0.3">
      <c r="A7" s="7" t="s">
        <v>118</v>
      </c>
      <c r="B7" s="19">
        <v>52450</v>
      </c>
      <c r="D7" s="7" t="s">
        <v>12</v>
      </c>
      <c r="E7" s="19">
        <v>1039250</v>
      </c>
      <c r="G7" s="7" t="s">
        <v>504</v>
      </c>
      <c r="H7" s="19">
        <v>6743000</v>
      </c>
      <c r="J7" s="7" t="s">
        <v>511</v>
      </c>
      <c r="K7" s="19">
        <v>225600</v>
      </c>
    </row>
    <row r="8" spans="1:11" x14ac:dyDescent="0.3">
      <c r="A8" s="7" t="s">
        <v>504</v>
      </c>
      <c r="B8" s="19">
        <v>276500</v>
      </c>
      <c r="D8" s="7" t="s">
        <v>6</v>
      </c>
      <c r="E8" s="19">
        <v>876850</v>
      </c>
      <c r="J8" s="7" t="s">
        <v>512</v>
      </c>
      <c r="K8" s="19">
        <v>307000</v>
      </c>
    </row>
    <row r="9" spans="1:11" x14ac:dyDescent="0.3">
      <c r="D9" s="7" t="s">
        <v>504</v>
      </c>
      <c r="E9" s="19">
        <v>6743000</v>
      </c>
      <c r="J9" s="7" t="s">
        <v>513</v>
      </c>
      <c r="K9" s="19">
        <v>245850</v>
      </c>
    </row>
    <row r="10" spans="1:11" x14ac:dyDescent="0.3">
      <c r="J10" s="7" t="s">
        <v>514</v>
      </c>
      <c r="K10" s="19">
        <v>273850</v>
      </c>
    </row>
    <row r="11" spans="1:11" x14ac:dyDescent="0.3">
      <c r="J11" s="7" t="s">
        <v>515</v>
      </c>
      <c r="K11" s="19">
        <v>276600</v>
      </c>
    </row>
    <row r="12" spans="1:11" x14ac:dyDescent="0.3">
      <c r="J12" s="7" t="s">
        <v>516</v>
      </c>
      <c r="K12" s="19">
        <v>322000</v>
      </c>
    </row>
    <row r="13" spans="1:11" x14ac:dyDescent="0.3">
      <c r="J13" s="7" t="s">
        <v>517</v>
      </c>
      <c r="K13" s="19">
        <v>295600</v>
      </c>
    </row>
    <row r="14" spans="1:11" x14ac:dyDescent="0.3">
      <c r="J14" s="7" t="s">
        <v>518</v>
      </c>
      <c r="K14" s="19">
        <v>268750</v>
      </c>
    </row>
    <row r="15" spans="1:11" x14ac:dyDescent="0.3">
      <c r="J15" s="7" t="s">
        <v>519</v>
      </c>
      <c r="K15" s="19">
        <v>305500</v>
      </c>
    </row>
    <row r="16" spans="1:11" x14ac:dyDescent="0.3">
      <c r="J16" s="7" t="s">
        <v>520</v>
      </c>
      <c r="K16" s="19">
        <v>299250</v>
      </c>
    </row>
    <row r="17" spans="10:11" x14ac:dyDescent="0.3">
      <c r="J17" s="7" t="s">
        <v>521</v>
      </c>
      <c r="K17" s="19">
        <v>266850</v>
      </c>
    </row>
    <row r="18" spans="10:11" x14ac:dyDescent="0.3">
      <c r="J18" s="7" t="s">
        <v>522</v>
      </c>
      <c r="K18" s="19">
        <v>320850</v>
      </c>
    </row>
    <row r="19" spans="10:11" x14ac:dyDescent="0.3">
      <c r="J19" s="7" t="s">
        <v>523</v>
      </c>
      <c r="K19" s="19">
        <v>276050</v>
      </c>
    </row>
    <row r="20" spans="10:11" x14ac:dyDescent="0.3">
      <c r="J20" s="7" t="s">
        <v>524</v>
      </c>
      <c r="K20" s="19">
        <v>293150</v>
      </c>
    </row>
    <row r="21" spans="10:11" x14ac:dyDescent="0.3">
      <c r="J21" s="7" t="s">
        <v>525</v>
      </c>
      <c r="K21" s="19">
        <v>291850</v>
      </c>
    </row>
    <row r="22" spans="10:11" x14ac:dyDescent="0.3">
      <c r="J22" s="7" t="s">
        <v>526</v>
      </c>
      <c r="K22" s="19">
        <v>360450</v>
      </c>
    </row>
    <row r="23" spans="10:11" x14ac:dyDescent="0.3">
      <c r="J23" s="7" t="s">
        <v>527</v>
      </c>
      <c r="K23" s="19">
        <v>294900</v>
      </c>
    </row>
    <row r="24" spans="10:11" x14ac:dyDescent="0.3">
      <c r="J24" s="7" t="s">
        <v>528</v>
      </c>
      <c r="K24" s="19">
        <v>247250</v>
      </c>
    </row>
    <row r="25" spans="10:11" x14ac:dyDescent="0.3">
      <c r="J25" s="7" t="s">
        <v>529</v>
      </c>
      <c r="K25" s="19">
        <v>232300</v>
      </c>
    </row>
    <row r="26" spans="10:11" x14ac:dyDescent="0.3">
      <c r="J26" s="7" t="s">
        <v>530</v>
      </c>
      <c r="K26" s="19">
        <v>213500</v>
      </c>
    </row>
    <row r="27" spans="10:11" x14ac:dyDescent="0.3">
      <c r="J27" s="7" t="s">
        <v>504</v>
      </c>
      <c r="K27" s="19">
        <v>6743000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2" sqref="D2"/>
    </sheetView>
  </sheetViews>
  <sheetFormatPr defaultRowHeight="14.4" x14ac:dyDescent="0.3"/>
  <cols>
    <col min="1" max="5" width="34.6640625" style="8" customWidth="1"/>
    <col min="6" max="6" width="19.88671875" style="9" customWidth="1"/>
    <col min="7" max="16384" width="8.88671875" style="9"/>
  </cols>
  <sheetData>
    <row r="1" spans="1:5" s="18" customFormat="1" ht="26.4" thickBot="1" x14ac:dyDescent="0.35">
      <c r="A1" s="20" t="s">
        <v>531</v>
      </c>
      <c r="B1" s="21"/>
      <c r="C1" s="21"/>
      <c r="D1" s="21"/>
      <c r="E1" s="21"/>
    </row>
    <row r="2" spans="1:5" ht="15.6" x14ac:dyDescent="0.3">
      <c r="A2" s="10" t="s">
        <v>498</v>
      </c>
      <c r="B2" s="11" t="s">
        <v>499</v>
      </c>
      <c r="C2" s="11" t="s">
        <v>500</v>
      </c>
      <c r="D2" s="11" t="s">
        <v>501</v>
      </c>
      <c r="E2" s="12" t="s">
        <v>502</v>
      </c>
    </row>
    <row r="3" spans="1:5" ht="21.6" thickBot="1" x14ac:dyDescent="0.35">
      <c r="A3" s="15">
        <f>SUM(sales_data!H:H)</f>
        <v>6743000</v>
      </c>
      <c r="B3" s="17">
        <f>SUM(sales_data!D:D)</f>
        <v>5301</v>
      </c>
      <c r="C3" s="16">
        <f>SUM(sales_data!H:H) / COUNTA(sales_data!G:G)</f>
        <v>4492.3384410393073</v>
      </c>
      <c r="D3" s="13" t="s">
        <v>36</v>
      </c>
      <c r="E3" s="14" t="s">
        <v>7</v>
      </c>
    </row>
    <row r="5" spans="1:5" ht="13.8" customHeight="1" x14ac:dyDescent="0.3"/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Bhagirath</dc:creator>
  <cp:lastModifiedBy>Ayush Bhagirath</cp:lastModifiedBy>
  <dcterms:created xsi:type="dcterms:W3CDTF">2025-11-27T12:08:02Z</dcterms:created>
  <dcterms:modified xsi:type="dcterms:W3CDTF">2025-11-29T14:20:27Z</dcterms:modified>
</cp:coreProperties>
</file>